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Übersicht" sheetId="1" state="visible" r:id="rId3"/>
    <sheet name="Requirements" sheetId="2" state="visible" r:id="rId4"/>
    <sheet name="Requirements-Log" sheetId="3" state="visible" r:id="rId5"/>
    <sheet name="Hinweise" sheetId="4" state="visible" r:id="rId6"/>
  </sheets>
  <definedNames>
    <definedName function="false" hidden="true" localSheetId="1" name="_xlnm._FilterDatabase" vbProcedure="false">Requirements!$A$1:$F$35</definedName>
    <definedName function="false" hidden="true" localSheetId="2" name="_xlnm._FilterDatabase" vbProcedure="false">'Requirements-Log'!$A$1:$J$14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<sst xmlns="http://schemas.openxmlformats.org/spreadsheetml/2006/main" count="369" uniqueCount="209">
  <si>
    <t xml:space="preserve">ALITA – Requirements</t>
  </si>
  <si>
    <t xml:space="preserve">Stand: Release 2.1.0 vom 17.10.2026 · REQ-01 – REQ-21 aus dem Review von 2.0.0, REQ-22 – REQ-34 aus der Sitzung vom 17.10.2026 (inkl. Feedback von Dustin)</t>
  </si>
  <si>
    <t xml:space="preserve">Kennzahl</t>
  </si>
  <si>
    <t xml:space="preserve">Anzahl</t>
  </si>
  <si>
    <t xml:space="preserve">Requirements gesamt</t>
  </si>
  <si>
    <t xml:space="preserve">Erledigt (alle Varianten von „Erledigt“)</t>
  </si>
  <si>
    <t xml:space="preserve">davon mit offenen Punkten / fehlenden Daten</t>
  </si>
  <si>
    <t xml:space="preserve">Abweichung</t>
  </si>
  <si>
    <t xml:space="preserve">Platzhalter</t>
  </si>
  <si>
    <t xml:space="preserve">Teilweise</t>
  </si>
  <si>
    <t xml:space="preserve">Ersetzt</t>
  </si>
  <si>
    <t xml:space="preserve">Neu in Release 2.1.0</t>
  </si>
  <si>
    <t xml:space="preserve">Davon aus Feedback von Dustin</t>
  </si>
  <si>
    <t xml:space="preserve">Die Zahlen werden per Formel aus dem Blatt „Requirements“ gezählt und aktualisieren sich, wenn dort Status geändert oder Zeilen ergänzt werden.</t>
  </si>
  <si>
    <t xml:space="preserve">ID</t>
  </si>
  <si>
    <t xml:space="preserve">Requirement</t>
  </si>
  <si>
    <t xml:space="preserve">Status</t>
  </si>
  <si>
    <t xml:space="preserve">Release(s)</t>
  </si>
  <si>
    <t xml:space="preserve">Quelle</t>
  </si>
  <si>
    <t xml:space="preserve">Umsetzung</t>
  </si>
  <si>
    <t xml:space="preserve">REQ-01</t>
  </si>
  <si>
    <t xml:space="preserve">Arbeitsfläche in vier Bereiche</t>
  </si>
  <si>
    <t xml:space="preserve">Erledigt (Layout geändert)</t>
  </si>
  <si>
    <t xml:space="preserve">1.11.0 · 2.1.0</t>
  </si>
  <si>
    <t xml:space="preserve">Review 2.0.0</t>
  </si>
  <si>
    <t xml:space="preserve">B-Seite in Bereiche aufgeteilt; seit 2.1.0: Karte links über die volle Höhe, rechts Projects &amp; clusters (⅔) über dem Graph Chat (⅓), Window to the outside als Button mit Pop-up.</t>
  </si>
  <si>
    <t xml:space="preserve">REQ-02</t>
  </si>
  <si>
    <t xml:space="preserve">Karte immer sichtbar</t>
  </si>
  <si>
    <t xml:space="preserve">Erledigt</t>
  </si>
  <si>
    <t xml:space="preserve">1.12.0</t>
  </si>
  <si>
    <t xml:space="preserve">Seite passt in die Fensterhöhe; Dokumente und Projekte öffnen im Bereich Projects &amp; clusters, die Karte verschwindet nie.</t>
  </si>
  <si>
    <t xml:space="preserve">REQ-03</t>
  </si>
  <si>
    <t xml:space="preserve">Import vieler Projekte/Ordner</t>
  </si>
  <si>
    <t xml:space="preserve">vor 1.0 · 1.16.0</t>
  </si>
  <si>
    <t xml:space="preserve">Alle Projektordner in einer gemeinsamen Karte; „Add new data“ lädt mehrere Projekte (je ein ZIP) mit Zieldatenbank, Datentyp und Gesamtdatum.</t>
  </si>
  <si>
    <t xml:space="preserve">REQ-04</t>
  </si>
  <si>
    <t xml:space="preserve">Sprechende Cluster-Namen</t>
  </si>
  <si>
    <t xml:space="preserve">1.10.0</t>
  </si>
  <si>
    <t xml:space="preserve">Jeder Clustering-Lauf erzeugt kurze, beschreibende Namen statt „Cluster 3“ oder Begriffslisten.</t>
  </si>
  <si>
    <t xml:space="preserve">REQ-05</t>
  </si>
  <si>
    <t xml:space="preserve">Cluster-Zusammenfassung</t>
  </si>
  <si>
    <t xml:space="preserve">1.4.0 · 1.9.0 · 1.12.0 · 1.13.0</t>
  </si>
  <si>
    <t xml:space="preserve">Beschreibung, Kernaussagen, verwendete Analysen; angedocktes Panel; verbundene Cluster; Dokumentliste.</t>
  </si>
  <si>
    <t xml:space="preserve">REQ-06</t>
  </si>
  <si>
    <t xml:space="preserve">3D-Navigation als Hauptansicht</t>
  </si>
  <si>
    <t xml:space="preserve">1.3.0 · 1.5.0 · 1.14.0</t>
  </si>
  <si>
    <t xml:space="preserve">3D-Raum mit Zeit; 3D als Standard; drei Ebenen Projekte &amp; Paper → Cluster → Dokumente; „⟲ Reset view“.</t>
  </si>
  <si>
    <t xml:space="preserve">REQ-07</t>
  </si>
  <si>
    <t xml:space="preserve">Zuverlässige Cluster-Erkennung</t>
  </si>
  <si>
    <t xml:space="preserve">0.8.0 · 1.8.0</t>
  </si>
  <si>
    <t xml:space="preserve">Mindestens 3 Cluster je Datensatz; Projektdateien einzeln geclustert – Magnolia hat rund 10 Cluster statt 1.</t>
  </si>
  <si>
    <t xml:space="preserve">REQ-08</t>
  </si>
  <si>
    <t xml:space="preserve">Korrektes Laden der Dokumente</t>
  </si>
  <si>
    <t xml:space="preserve">Erledigt (erklärt)</t>
  </si>
  <si>
    <t xml:space="preserve">1.13.0</t>
  </si>
  <si>
    <t xml:space="preserve">Nichts fehlte: 146 Dateien sind bewusst ausgeschlossene Literaturordner (PROJECT_EXCLUDE); Datenbank-Info zeigt Anzahl und Regel.</t>
  </si>
  <si>
    <t xml:space="preserve">REQ-09</t>
  </si>
  <si>
    <t xml:space="preserve">Direkte Cluster-/Projektansicht</t>
  </si>
  <si>
    <t xml:space="preserve">1.12.0 · 1.13.0</t>
  </si>
  <si>
    <t xml:space="preserve">Klick in die Karte zeigt rechts den Inhalt: Dokumentlisten der Cluster, Projektkarte mit Dateien, Clustern und Team.</t>
  </si>
  <si>
    <t xml:space="preserve">REQ-10</t>
  </si>
  <si>
    <t xml:space="preserve">Versionsverlauf</t>
  </si>
  <si>
    <t xml:space="preserve">Erledigt – offene Punkte</t>
  </si>
  <si>
    <t xml:space="preserve">1.15.0</t>
  </si>
  <si>
    <t xml:space="preserve">Zeitleiste in der Projektkarte: Versionen nach Art der Änderung eingefärbt, Erkenntnisstufen als Bänder, Analysen ihrer Stufe zugeordnet.</t>
  </si>
  <si>
    <t xml:space="preserve">REQ-11</t>
  </si>
  <si>
    <t xml:space="preserve">Ein einziger Chat</t>
  </si>
  <si>
    <t xml:space="preserve">1.14.0</t>
  </si>
  <si>
    <t xml:space="preserve">Chats nicht zusammengelegt; Erklärung über jedem Chat und ALITA („RAG vs. Graph?“, Tour) erklären, welcher wofür. Zusammenlegen offen, falls gewünscht.</t>
  </si>
  <si>
    <t xml:space="preserve">REQ-12</t>
  </si>
  <si>
    <t xml:space="preserve">Kontextabhängiger Chat-Umfang</t>
  </si>
  <si>
    <t xml:space="preserve">Nichts gewählt → ganze Karte; Projekt → nur dieses Projekt; Cluster → nur diese Cluster; Anzeige über der Eingabe.</t>
  </si>
  <si>
    <t xml:space="preserve">REQ-13</t>
  </si>
  <si>
    <t xml:space="preserve">Antworten links, Eingabe rechts</t>
  </si>
  <si>
    <t xml:space="preserve">1.8.0 · 1.9.0 · 1.16.1</t>
  </si>
  <si>
    <t xml:space="preserve">Antworten links; Fragen, Eingabe und Einstellungen rechts.</t>
  </si>
  <si>
    <t xml:space="preserve">REQ-14</t>
  </si>
  <si>
    <t xml:space="preserve">Ausblendbare Parameter</t>
  </si>
  <si>
    <t xml:space="preserve">1.8.0 · 1.13.0</t>
  </si>
  <si>
    <t xml:space="preserve">Parameter und System-Prompt hinter einer eingeklappten Zeile „Advanced settings“ je Chat.</t>
  </si>
  <si>
    <t xml:space="preserve">REQ-15</t>
  </si>
  <si>
    <t xml:space="preserve">Fragen zum Erkenntnisfortschritt</t>
  </si>
  <si>
    <t xml:space="preserve">Beide Chats erkennen Fortschrittsfragen und „wie wurden die Analysen gemacht“ und antworten aus den Erkenntnisstufen.</t>
  </si>
  <si>
    <t xml:space="preserve">REQ-16</t>
  </si>
  <si>
    <t xml:space="preserve">Tabelle der Erkenntnisstufen</t>
  </si>
  <si>
    <t xml:space="preserve">Stufentabelle (Stufe · Erkenntnisstand · Dateien · Analysen) unter der Antwort und in der Projektkarte; 3, 5 oder 10 Stufen.</t>
  </si>
  <si>
    <t xml:space="preserve">REQ-17</t>
  </si>
  <si>
    <t xml:space="preserve">Inhaltliche vs. formale Änderungen</t>
  </si>
  <si>
    <t xml:space="preserve">Jede Version als inhaltlich, Umformulierung, Formatierung oder Neueinreichung eingestuft, z. B. „71 von 75 Versionen ohne grundlegend neue Erkenntnis“.</t>
  </si>
  <si>
    <t xml:space="preserve">REQ-18</t>
  </si>
  <si>
    <t xml:space="preserve">Stufen verlinken auf Quelldateien</t>
  </si>
  <si>
    <t xml:space="preserve">Jede Stufe zeigt ihren Bereich („Files 1–7“); jede Datei öffnet das Dokument.</t>
  </si>
  <si>
    <t xml:space="preserve">REQ-19</t>
  </si>
  <si>
    <t xml:space="preserve">Richtige Zuordnung und Datenauswahl</t>
  </si>
  <si>
    <t xml:space="preserve">Erledigt – Teamdaten fehlen</t>
  </si>
  <si>
    <t xml:space="preserve">Kuratierte Projektteams statt Datei-Metadaten; Störnamen entfernt; „restrict to a person“ in beiden Chats. Team Sustainability noch einzutragen.</t>
  </si>
  <si>
    <t xml:space="preserve">REQ-20</t>
  </si>
  <si>
    <t xml:space="preserve">Externe Prüfung (External challenge)</t>
  </si>
  <si>
    <t xml:space="preserve">Konzept („under construction“) für den Antrag; seit 2.1.0 über den Button „Window to the outside“ als Pop-up; Umsetzung später.</t>
  </si>
  <si>
    <t xml:space="preserve">REQ-21</t>
  </si>
  <si>
    <t xml:space="preserve">Weniger Informationsdichte</t>
  </si>
  <si>
    <t xml:space="preserve">Teilweise – niedrige Priorität</t>
  </si>
  <si>
    <t xml:space="preserve">1.10.0 · 1.12.0 · 1.13.0</t>
  </si>
  <si>
    <t xml:space="preserve">Kurze Cluster-Namen, doppelte Detailansicht entfernt, Beschreibungen nur für gewählte Cluster, Einstellungen eingeklappt; Gesamtüberarbeitung später.</t>
  </si>
  <si>
    <t xml:space="preserve">REQ-22</t>
  </si>
  <si>
    <t xml:space="preserve">Volle Bildschirmbreite</t>
  </si>
  <si>
    <t xml:space="preserve">2.1.0</t>
  </si>
  <si>
    <t xml:space="preserve">Sitzung 2026-10-17</t>
  </si>
  <si>
    <t xml:space="preserve">max-width:1600px der Seiten-Hülle (.app in css/base.css) entfernt. Nur Frontend – Browser-Reload genügt.</t>
  </si>
  <si>
    <t xml:space="preserve">REQ-23</t>
  </si>
  <si>
    <t xml:space="preserve">B-Erklärung unter dem Datenbank-Balken</t>
  </si>
  <si>
    <t xml:space="preserve">Element aus #bTileSlot an den Anfang von #page-graph verschoben (index.html), Abstand in css/tiles.css. Die Kartenhöhe passt sich automatisch an (fitBPage).</t>
  </si>
  <si>
    <t xml:space="preserve">REQ-24</t>
  </si>
  <si>
    <t xml:space="preserve">Window to the outside nur als Button</t>
  </si>
  <si>
    <t xml:space="preserve">Raster auf "map cluster" / "chat cluster" umgestellt (css/clusters.css); Button #bOutsideBtn + Pop-up mit Abdunklung (index.html, css/tiles.css, js/clusters.js); ALITA-Tour zeigt auf den Button. Ändert die Aufteilung aus REQ-01.</t>
  </si>
  <si>
    <t xml:space="preserve">REQ-25</t>
  </si>
  <si>
    <t xml:space="preserve">Button mit Animation, klein, links</t>
  </si>
  <si>
    <t xml:space="preserve">Animation wird beim Laden aus dem Fenster kopiert (eigene IDs, Ausschnitt auf den Bagger), Button 240×64 px links (css/tiles.css, js/clusters.js). Ergänzt REQ-24.</t>
  </si>
  <si>
    <t xml:space="preserve">REQ-26</t>
  </si>
  <si>
    <t xml:space="preserve">Wissenskarte füllt die Kachelbreite</t>
  </si>
  <si>
    <t xml:space="preserve">mountGraph3D (js/clusters.js): Periodenabstand, Projektbreite und Cluster-Streuung aus Kachelbreite/Höhe berechnet; Neu-Layout bei Breitenänderung. Geprüft an der laufenden Instanz (1173 px und 1823 px breite Kachel).</t>
  </si>
  <si>
    <t xml:space="preserve">REQ-27</t>
  </si>
  <si>
    <t xml:space="preserve">Chat als Streifen über die volle Breite</t>
  </si>
  <si>
    <t xml:space="preserve">Ersetzt durch REQ-28</t>
  </si>
  <si>
    <t xml:space="preserve">Raster auf "map cluster" / "chat chat", Zeilen 1.7fr / 1fr (css/clusters.css). Ersetzt die Aufteilung „Projects &amp; clusters über die ganze rechte Seite“ aus REQ-24. → Am selben Tag durch REQ-28 ersetzt.</t>
  </si>
  <si>
    <t xml:space="preserve">REQ-28</t>
  </si>
  <si>
    <t xml:space="preserve">Karte links; rechts Projects &amp; clusters ⅔, Chat ⅓</t>
  </si>
  <si>
    <t xml:space="preserve">Raster "map cluster" / "map chat", Zeilen 2fr / 1fr (css/clusters.css); Höhenbegrenzung der Karte von 720 px auf 1600 px angehoben (js/clusters.js). Geprüft an der laufenden Instanz bei 2400×1300.</t>
  </si>
  <si>
    <t xml:space="preserve">REQ-29</t>
  </si>
  <si>
    <t xml:space="preserve">Wissenskarte füllt auch die Kachelhöhe</t>
  </si>
  <si>
    <t xml:space="preserve">Vertikale Streckung KY aus dem Seitenverhältnis, Dokumenten-Streifen nach Zeilenzahl, automatisches Einpassen der Kamera (js/clusters.js). Geprüft an der laufenden Instanz: 1823×1294 → Elemente x 118–1738, y 161–1269.</t>
  </si>
  <si>
    <t xml:space="preserve">REQ-30</t>
  </si>
  <si>
    <t xml:space="preserve">Refactor</t>
  </si>
  <si>
    <t xml:space="preserve">js/clusters.js: v3BLayout(), v3FitCam(), onBResize(); neu js/outside.js (in index.html eingebunden, vom Artefakt-Build automatisch übernommen). Im Browser an der laufenden Instanz geprüft.</t>
  </si>
  <si>
    <t xml:space="preserve">REQ-31</t>
  </si>
  <si>
    <t xml:space="preserve">3D-Zeitansicht: Klick wählt den Cluster</t>
  </si>
  <si>
    <t xml:space="preserve">Dustin (Feedback)</t>
  </si>
  <si>
    <t xml:space="preserve">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</si>
  <si>
    <t xml:space="preserve">REQ-32</t>
  </si>
  <si>
    <t xml:space="preserve">3D-Zeitansicht: Zeit-Zoom und genaue Daten</t>
  </si>
  <si>
    <t xml:space="preserve">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</si>
  <si>
    <t xml:space="preserve">REQ-33</t>
  </si>
  <si>
    <t xml:space="preserve">Wissenskarte vergrößern</t>
  </si>
  <si>
    <t xml:space="preserve">Button #cgMax + Abdunklung #cgMaxScrim (index.html), Klasse .maxed (css/clusters.css), cgMax() in js/clusters.js. Geprüft an der lokalen Instanz: Zeichenfläche 2365×1191 px.</t>
  </si>
  <si>
    <t xml:space="preserve">REQ-34</t>
  </si>
  <si>
    <t xml:space="preserve">Verschieben darf den Zeitstrahl nicht brechen</t>
  </si>
  <si>
    <t xml:space="preserve">mountGraph3D (js/clusters.js): keep() begrenzt x auf die Periodenspalte (±GAPX/2) und y auf das Cluster-Band – beim Ziehen und in der Kräfte-Simulation. Geprüft: C8 (before 2025) nach 40 Zügen nach rechts weiterhin in seiner Spalte.</t>
  </si>
  <si>
    <t xml:space="preserve">Datum</t>
  </si>
  <si>
    <t xml:space="preserve">Version</t>
  </si>
  <si>
    <t xml:space="preserve">Ursprüngliche Anfrage (wörtlich)</t>
  </si>
  <si>
    <t xml:space="preserve">Als Requirement formuliert</t>
  </si>
  <si>
    <t xml:space="preserve">Akzeptanzkriterium</t>
  </si>
  <si>
    <t xml:space="preserve">Bereich</t>
  </si>
  <si>
    <t xml:space="preserve">Priorität</t>
  </si>
  <si>
    <t xml:space="preserve">Umsetzung / Bemerkung</t>
  </si>
  <si>
    <t xml:space="preserve">2026-10-17</t>
  </si>
  <si>
    <t xml:space="preserve">Ich möchte nun dass das Webinterface von ALITA die volle Bildschirmbreite nutzt.</t>
  </si>
  <si>
    <t xml:space="preserve">Das Webinterface MUSS die gesamte verfügbare Breite des Browserfensters nutzen; es DARF keine feste Maximalbreite mit leeren Seitenrändern geben.</t>
  </si>
  <si>
    <t xml:space="preserve">Bei Fensterbreiten über 1600 px (z. B. 2560 px) reichen Kopfzeile, Datenbank-Balken und alle Seiten bis an den Fensterrand (abzüglich des normalen Innenabstands von 16 px).</t>
  </si>
  <si>
    <t xml:space="preserve">Frontend · Layout (alle Seiten)</t>
  </si>
  <si>
    <t xml:space="preserve">Mittel</t>
  </si>
  <si>
    <t xml:space="preserve">Mach diesen Teil direkt unter den Datenbanken-Balken: [Screenshot der Erklärung „B searches the knowledge graph …“]</t>
  </si>
  <si>
    <t xml:space="preserve">Im B Interaction Interface MUSS die Erklärung zum Graph Chat („B searches the knowledge graph …“) direkt unterhalb des Datenbank-Balkens über die volle Breite angezeigt werden, nicht innerhalb des Chat-Bereichs.</t>
  </si>
  <si>
    <t xml:space="preserve">Auf der Seite B Interaction Interface steht die Erklärung als erste Zeile unter dem Datenbank-Balken, oberhalb der vier Bereiche; der Chat-Bereich enthält sie nicht mehr; der ALITA-Klick auf das „i“ funktioniert weiter.</t>
  </si>
  <si>
    <t xml:space="preserve">Frontend · B Interaction Interface</t>
  </si>
  <si>
    <t xml:space="preserve">Das Fenster unten soll nur als Button verfügbar sein. Mach das vielleicht unter Databases neben dem „B searches the knowledge graph“ hin, stattdessen dann links unten Chatfenster und ganze rechte Seite Projects and Clusters.</t>
  </si>
  <si>
    <t xml:space="preserve">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</si>
  <si>
    <t xml:space="preserve">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</si>
  <si>
    <t xml:space="preserve">Lass es als die Animation wie vorher, aber kleiner und links. [Screenshot des Buttons „Window to the outside“]</t>
  </si>
  <si>
    <t xml:space="preserve">Der Button „Window to the outside“ MUSS die animierte Wüsten-Baustelle des bisherigen Fensters als verkleinerte Vorschau zeigen und links neben der Erklärung „B searches the knowledge graph“ stehen.</t>
  </si>
  <si>
    <t xml:space="preserve">Unter dem Datenbank-Balken steht ganz links eine kleine, laufende Animation (Bagger, Schild, Absperrung) mit der Beschriftung „Window to the outside“, rechts daneben die B-Erklärung; Klick öffnet weiterhin das große Fenster.</t>
  </si>
  <si>
    <t xml:space="preserve">Niedrig</t>
  </si>
  <si>
    <t xml:space="preserve">Stretch this to the whole Kachel. [Screenshot der Wissenskarte, die nur die Mitte der Kachel nutzt]</t>
  </si>
  <si>
    <t xml:space="preserve">Die 3D-Wissenskarte im B Interaction Interface MUSS die gesamte Breite ihrer Kachel nutzen; Perioden, Projekte und Cluster SOLLEN sich horizontal über die verfügbare Breite verteilen.</t>
  </si>
  <si>
    <t xml:space="preserve">Bei breiter Kachel (z. B. 1800 px) reichen Projekt-Ebene, Cluster und Dokumente fast bis an den linken und rechten Rand; bei Änderung der Fensterbreite wird die Karte neu verteilt; nichts wird abgeschnitten.</t>
  </si>
  <si>
    <t xml:space="preserve">Frontend · Wissenskarte (B)</t>
  </si>
  <si>
    <t xml:space="preserve">OK, also eigentlich soll das Chatfenster schmaler und komplett von links nach rechts gehen.</t>
  </si>
  <si>
    <t xml:space="preserve">Der Graph Chat im B Interaction Interface MUSS als Streifen über die gesamte Breite unter Wissenskarte und „Projects &amp; clusters“ liegen und SOLL weniger hoch sein als die obere Reihe.</t>
  </si>
  <si>
    <t xml:space="preserve">Obere Reihe: Wissenskarte links, Projects &amp; clusters rechts; untere Reihe: Chat von linkem bis rechtem Rand, Höhe ca. 1/3 des Rasters; Antworten links, Eingabe rechts bleiben erhalten (REQ-13).</t>
  </si>
  <si>
    <t xml:space="preserve">OK nee, links nur die Map und rechts 1/3 Chatfenster und Rest Projects und Clusters.</t>
  </si>
  <si>
    <t xml:space="preserve">Im B Interaction Interface MUSS die Wissenskarte die gesamte linke Hälfte über die volle Höhe einnehmen; rechts MÜSSEN „Projects &amp; clusters“ (oben, ca. 2/3 der Höhe) und der Graph Chat (unten, ca. 1/3 der Höhe) liegen.</t>
  </si>
  <si>
    <t xml:space="preserve">Links nur die Karte, deren Zeichenfläche die Kachel ausfüllt; rechts oben Projects &amp; clusters, rechts unten der Chat mit sichtbarer Eingabe und Senden-Button; Verhältnis rechts ca. 2:1.</t>
  </si>
  <si>
    <t xml:space="preserve">Natürlich soll dann der Graph auch voll ausfüllen, ne. [Screenshot: Karte nutzt die Höhe der Kachel nicht]</t>
  </si>
  <si>
    <t xml:space="preserve">Die Wissenskarte MUSS ihre Kachel in Breite UND Höhe ausfüllen; die drei Ebenen (Projekte &amp; Paper, semantische Cluster, Dokumente) SOLLEN sich über die verfügbare Höhe verteilen, ohne leere Flächen oben oder unten.</t>
  </si>
  <si>
    <t xml:space="preserve">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</si>
  <si>
    <t xml:space="preserve">Refactor.</t>
  </si>
  <si>
    <t xml:space="preserve">Der in dieser Sitzung ergänzte Frontend-Code SOLL ohne Änderung des Verhaltens aufgeräumt werden: Layout-Berechnung und Kamera-Einpassung als eigene, dokumentierte Funktionen, „Window to the outside“ in einer eigenen Datei.</t>
  </si>
  <si>
    <t xml:space="preserve">Gleiches Verhalten wie vorher (Karte füllt die Kachel, Pop-up öffnet/schließt, Mini-Animation sichtbar), keine Konsolenfehler; Code in v3BLayout, v3FitCam, onBResize und js/outside.js.</t>
  </si>
  <si>
    <t xml:space="preserve">Frontend · Code-Qualität</t>
  </si>
  <si>
    <t xml:space="preserve">Lös das Problem. [Screenshot von Dustin, 15.10.: „Das Hovern zur Auswahl der Cluster funktioniert, das Klicken aber nicht. C6 ist ausgewählt, C7 wird angezeigt“]</t>
  </si>
  <si>
    <t xml:space="preserve">In der 3D-·-Zeit-Ansicht MUSS ein Klick auf einen Cluster – im Raum oder unter „Connected clusters“ in der Beschreibung – genau diesen Cluster auswählen und seine Beschreibung unten festhalten. Das Loslassen nach dem Drehen DARF die Auswahl NICHT verändern.</t>
  </si>
  <si>
    <t xml:space="preserve">Klick auf C6 (im Raum oder als Connected cluster unter C7) → unten steht C6, festgehalten; erneuter Klick oder ✕ gibt frei; Drehen per Ziehen ändert nichts; Hover zeigt weiterhin die Vorschau, solange nichts festgehalten ist.</t>
  </si>
  <si>
    <t xml:space="preserve">Frontend · 3D-·-Zeit-Ansicht</t>
  </si>
  <si>
    <t xml:space="preserve">Hoch</t>
  </si>
  <si>
    <t xml:space="preserve">[Nachricht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</si>
  <si>
    <t xml:space="preserve">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</si>
  <si>
    <t xml:space="preserve">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</si>
  <si>
    <t xml:space="preserve">[Nachricht von Dustin mit Screenshot der Wissenskarte] ne Möglichkeit, das Feld hier zu vergrößern, wäre auch nice</t>
  </si>
  <si>
    <t xml:space="preserve">Die Wissenskarte im B Interaction Interface MUSS sich per Knopf vergrößern lassen (großes Fenster über der Seite) und SOLL dabei in der neuen Größe neu gezeichnet werden; Zurück per Knopf, Esc oder Klick daneben.</t>
  </si>
  <si>
    <t xml:space="preserve">Knopf „⤢ Enlarge“ im Kopf der Karte → Karte füllt fast den ganzen Bildschirm (z. B. 2368×1268 px bei 2400×1300), Inhalt füllt die Fläche; „✕ Close“, Esc oder Klick auf den abgedunkelten Rand → normale Größe.</t>
  </si>
  <si>
    <t xml:space="preserve">[Nachricht von Dustin mit Screenshot] Die Cluster hier liegen auf einem Zeitstrahl, ich kann sie aber verschieben. Verschieben ist cool, aber im Sinne des Zeitstrahls wahrscheinlich schwierig, oder?</t>
  </si>
  <si>
    <t xml:space="preserve">In der Wissenskarte mit Perioden (before 2025 / 2025 / 2026) SOLLEN Cluster weiterhin verschiebbar sein, DÜRFEN aber ihre Periodenspalte NICHT verlassen, damit der Zeitstrahl korrekt bleibt.</t>
  </si>
  <si>
    <t xml:space="preserve">Ein Cluster lässt sich innerhalb seiner Spalte frei ziehen; auch kräftiges Ziehen in die Nachbarspalte endet am Spaltenrand; auf der B-Seite bleibt er zusätzlich im Band „Semantic clusters“; „⟲ Reset view“ setzt wie bisher zurück.</t>
  </si>
  <si>
    <t xml:space="preserve">Frontend · Wissenskarte (3D)</t>
  </si>
  <si>
    <t xml:space="preserve">Requirements-Log ALITA – seit der Sitzung vom 17.10.2026 wird jede Anfrage als eigene Zeile im Blatt „Requirements-Log“ ergänzt und zusätzlich im Blatt „Requirements“ geführt.</t>
  </si>
  <si>
    <t xml:space="preserve">„Requirements“: alle Anforderungen mit Status, Release und Umsetzung (REQ-01 – REQ-21 aus dem Review von 2.0.0, ab REQ-22 aus den Sitzungen). Status bitte aus der Auswahlliste wählen – die Übersicht zählt danach.</t>
  </si>
  <si>
    <t xml:space="preserve">„Requirements-Log“: die Anfrage im Wortlaut, als Requirement formuliert (MUSS/SOLL/DARF NICHT) und das Akzeptanzkriterium.</t>
  </si>
  <si>
    <t xml:space="preserve">Die Versionsangabe 2.0.1 aus der Sitzung wurde beim Release zu 2.1.0 (neue, rückwärtskompatible Funktionen → Minor-Version nach SemVer).</t>
  </si>
  <si>
    <t xml:space="preserve">Quelle des Textes für REQ-01 – REQ-21: docs/requirements-status.md (dort auf Englisch); Release Notes: CHANGELOG.md, Abschnitt [2.1.0].</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</si>
</sst>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10"/>
      <color rgb="FF555555"/>
      <name val="Arial"/>
      <family val="0"/>
      <charset val="1"/>
    </font>
    <font>
      <b val="true"/>
      <sz val="11"/>
      <color rgb="FFFFFFFF"/>
      <name val="Arial"/>
      <family val="0"/>
      <charset val="1"/>
    </font>
    <font>
      <sz val="10"/>
      <name val="Arial"/>
      <family val="0"/>
      <charset val="1"/>
    </font>
    <font>
      <b val="true"/>
      <sz val="10"/>
      <name val="Arial"/>
      <family val="0"/>
      <charset val="1"/>
    </font>
    <font>
      <i val="true"/>
      <sz val="9"/>
      <color rgb="FF555555"/>
      <name val="Arial"/>
      <family val="0"/>
      <charset val="1"/>
    </font>
  </fonts>
  <fills count="3">
    <fill>
      <patternFill patternType="none"/>
    </fill>
    <fill>
      <patternFill patternType="gray125"/>
    </fill>
    <fill>
      <patternFill patternType="solid">
        <fgColor rgb="FF1F2A44"/>
        <bgColor rgb="FF003366"/>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2"/>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row>
    <row r="5" customFormat="false" ht="15" hidden="false" customHeight="false" outlineLevel="0" collapsed="false">
      <c r="A5" s="4" t="s">
        <v>4</v>
      </c>
      <c r="B5" s="5" t="n">
        <f aca="false">COUNTA(Requirements!A2:A200)</f>
        <v>34</v>
      </c>
    </row>
    <row r="6" customFormat="false" ht="15" hidden="false" customHeight="false" outlineLevel="0" collapsed="false">
      <c r="A6" s="4" t="s">
        <v>5</v>
      </c>
      <c r="B6" s="5" t="n">
        <f aca="false">COUNTIF(Requirements!C2:C200,"Erledigt*")</f>
        <v>30</v>
      </c>
    </row>
    <row r="7" customFormat="false" ht="15" hidden="false" customHeight="false" outlineLevel="0" collapsed="false">
      <c r="A7" s="4" t="s">
        <v>6</v>
      </c>
      <c r="B7" s="5" t="n">
        <f aca="false">COUNTIF(Requirements!C2:C200,"*offene Punkte*")+COUNTIF(Requirements!C2:C200,"*fehlen*")</f>
        <v>3</v>
      </c>
    </row>
    <row r="8" customFormat="false" ht="15" hidden="false" customHeight="false" outlineLevel="0" collapsed="false">
      <c r="A8" s="4" t="s">
        <v>7</v>
      </c>
      <c r="B8" s="5" t="n">
        <f aca="false">COUNTIF(Requirements!C2:C200,"Abweichung*")</f>
        <v>1</v>
      </c>
    </row>
    <row r="9" customFormat="false" ht="15" hidden="false" customHeight="false" outlineLevel="0" collapsed="false">
      <c r="A9" s="4" t="s">
        <v>8</v>
      </c>
      <c r="B9" s="5" t="n">
        <f aca="false">COUNTIF(Requirements!C2:C200,"Platzhalter*")</f>
        <v>1</v>
      </c>
    </row>
    <row r="10" customFormat="false" ht="15" hidden="false" customHeight="false" outlineLevel="0" collapsed="false">
      <c r="A10" s="4" t="s">
        <v>9</v>
      </c>
      <c r="B10" s="5" t="n">
        <f aca="false">COUNTIF(Requirements!C2:C200,"Teilweise*")</f>
        <v>1</v>
      </c>
    </row>
    <row r="11" customFormat="false" ht="15" hidden="false" customHeight="false" outlineLevel="0" collapsed="false">
      <c r="A11" s="4" t="s">
        <v>10</v>
      </c>
      <c r="B11" s="5" t="n">
        <f aca="false">COUNTIF(Requirements!C2:C200,"Ersetzt*")</f>
        <v>1</v>
      </c>
    </row>
    <row r="12" customFormat="false" ht="15" hidden="false" customHeight="false" outlineLevel="0" collapsed="false">
      <c r="A12" s="4" t="s">
        <v>11</v>
      </c>
      <c r="B12" s="5" t="n">
        <f aca="false">COUNTIF(Requirements!D2:D200,"2.1.0")</f>
        <v>13</v>
      </c>
    </row>
    <row r="13" customFormat="false" ht="15" hidden="false" customHeight="false" outlineLevel="0" collapsed="false">
      <c r="A13" s="4" t="s">
        <v>12</v>
      </c>
      <c r="B13" s="5" t="n">
        <f aca="false">COUNTIF(Requirements!E2:E200,"Dustin*")</f>
        <v>4</v>
      </c>
    </row>
    <row r="15" customFormat="false" ht="15" hidden="false" customHeight="false" outlineLevel="0" collapsed="false">
      <c r="A15" s="6"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8"/>
    <col collapsed="false" customWidth="true" hidden="false" outlineLevel="0" max="3" min="3" style="0" width="26"/>
    <col collapsed="false" customWidth="true" hidden="false" outlineLevel="0" max="5" min="4" style="0" width="20"/>
    <col collapsed="false" customWidth="true" hidden="false" outlineLevel="0" max="6" min="6" style="0" width="90"/>
  </cols>
  <sheetData>
    <row r="1" customFormat="false" ht="30" hidden="false" customHeight="true" outlineLevel="0" collapsed="false">
      <c r="A1" s="7" t="s">
        <v>14</v>
      </c>
      <c r="B1" s="7" t="s">
        <v>15</v>
      </c>
      <c r="C1" s="7" t="s">
        <v>16</v>
      </c>
      <c r="D1" s="7" t="s">
        <v>17</v>
      </c>
      <c r="E1" s="7" t="s">
        <v>18</v>
      </c>
      <c r="F1" s="7" t="s">
        <v>19</v>
      </c>
    </row>
    <row r="2" customFormat="false" ht="23.85" hidden="false" customHeight="false" outlineLevel="0" collapsed="false">
      <c r="A2" s="8" t="s">
        <v>20</v>
      </c>
      <c r="B2" s="8" t="s">
        <v>21</v>
      </c>
      <c r="C2" s="8" t="s">
        <v>22</v>
      </c>
      <c r="D2" s="8" t="s">
        <v>23</v>
      </c>
      <c r="E2" s="8" t="s">
        <v>24</v>
      </c>
      <c r="F2" s="8" t="s">
        <v>25</v>
      </c>
    </row>
    <row r="3" customFormat="false" ht="23.85" hidden="false" customHeight="false" outlineLevel="0" collapsed="false">
      <c r="A3" s="8" t="s">
        <v>26</v>
      </c>
      <c r="B3" s="8" t="s">
        <v>27</v>
      </c>
      <c r="C3" s="8" t="s">
        <v>28</v>
      </c>
      <c r="D3" s="8" t="s">
        <v>29</v>
      </c>
      <c r="E3" s="8" t="s">
        <v>24</v>
      </c>
      <c r="F3" s="8" t="s">
        <v>30</v>
      </c>
    </row>
    <row r="4" customFormat="false" ht="23.85" hidden="false" customHeight="false" outlineLevel="0" collapsed="false">
      <c r="A4" s="8" t="s">
        <v>31</v>
      </c>
      <c r="B4" s="8" t="s">
        <v>32</v>
      </c>
      <c r="C4" s="8" t="s">
        <v>28</v>
      </c>
      <c r="D4" s="8" t="s">
        <v>33</v>
      </c>
      <c r="E4" s="8" t="s">
        <v>24</v>
      </c>
      <c r="F4" s="8" t="s">
        <v>34</v>
      </c>
    </row>
    <row r="5" customFormat="false" ht="15" hidden="false" customHeight="false" outlineLevel="0" collapsed="false">
      <c r="A5" s="8" t="s">
        <v>35</v>
      </c>
      <c r="B5" s="8" t="s">
        <v>36</v>
      </c>
      <c r="C5" s="8" t="s">
        <v>28</v>
      </c>
      <c r="D5" s="8" t="s">
        <v>37</v>
      </c>
      <c r="E5" s="8" t="s">
        <v>24</v>
      </c>
      <c r="F5" s="8" t="s">
        <v>38</v>
      </c>
    </row>
    <row r="6" customFormat="false" ht="23.85" hidden="false" customHeight="false" outlineLevel="0" collapsed="false">
      <c r="A6" s="8" t="s">
        <v>39</v>
      </c>
      <c r="B6" s="8" t="s">
        <v>40</v>
      </c>
      <c r="C6" s="8" t="s">
        <v>28</v>
      </c>
      <c r="D6" s="8" t="s">
        <v>41</v>
      </c>
      <c r="E6" s="8" t="s">
        <v>24</v>
      </c>
      <c r="F6" s="8" t="s">
        <v>42</v>
      </c>
    </row>
    <row r="7" customFormat="false" ht="15" hidden="false" customHeight="false" outlineLevel="0" collapsed="false">
      <c r="A7" s="8" t="s">
        <v>43</v>
      </c>
      <c r="B7" s="8" t="s">
        <v>44</v>
      </c>
      <c r="C7" s="8" t="s">
        <v>28</v>
      </c>
      <c r="D7" s="8" t="s">
        <v>45</v>
      </c>
      <c r="E7" s="8" t="s">
        <v>24</v>
      </c>
      <c r="F7" s="8" t="s">
        <v>46</v>
      </c>
    </row>
    <row r="8" customFormat="false" ht="15" hidden="false" customHeight="false" outlineLevel="0" collapsed="false">
      <c r="A8" s="8" t="s">
        <v>47</v>
      </c>
      <c r="B8" s="8" t="s">
        <v>48</v>
      </c>
      <c r="C8" s="8" t="s">
        <v>28</v>
      </c>
      <c r="D8" s="8" t="s">
        <v>49</v>
      </c>
      <c r="E8" s="8" t="s">
        <v>24</v>
      </c>
      <c r="F8" s="8" t="s">
        <v>50</v>
      </c>
    </row>
    <row r="9" customFormat="false" ht="23.85" hidden="false" customHeight="false" outlineLevel="0" collapsed="false">
      <c r="A9" s="8" t="s">
        <v>51</v>
      </c>
      <c r="B9" s="8" t="s">
        <v>52</v>
      </c>
      <c r="C9" s="8" t="s">
        <v>53</v>
      </c>
      <c r="D9" s="8" t="s">
        <v>54</v>
      </c>
      <c r="E9" s="8" t="s">
        <v>24</v>
      </c>
      <c r="F9" s="8" t="s">
        <v>55</v>
      </c>
    </row>
    <row r="10" customFormat="false" ht="23.85" hidden="false" customHeight="false" outlineLevel="0" collapsed="false">
      <c r="A10" s="8" t="s">
        <v>56</v>
      </c>
      <c r="B10" s="8" t="s">
        <v>57</v>
      </c>
      <c r="C10" s="8" t="s">
        <v>28</v>
      </c>
      <c r="D10" s="8" t="s">
        <v>58</v>
      </c>
      <c r="E10" s="8" t="s">
        <v>24</v>
      </c>
      <c r="F10" s="8" t="s">
        <v>59</v>
      </c>
    </row>
    <row r="11" customFormat="false" ht="23.85" hidden="false" customHeight="false" outlineLevel="0" collapsed="false">
      <c r="A11" s="8" t="s">
        <v>60</v>
      </c>
      <c r="B11" s="8" t="s">
        <v>61</v>
      </c>
      <c r="C11" s="8" t="s">
        <v>62</v>
      </c>
      <c r="D11" s="8" t="s">
        <v>63</v>
      </c>
      <c r="E11" s="8" t="s">
        <v>24</v>
      </c>
      <c r="F11" s="8" t="s">
        <v>64</v>
      </c>
    </row>
    <row r="12" customFormat="false" ht="23.85" hidden="false" customHeight="false" outlineLevel="0" collapsed="false">
      <c r="A12" s="8" t="s">
        <v>65</v>
      </c>
      <c r="B12" s="8" t="s">
        <v>66</v>
      </c>
      <c r="C12" s="8" t="s">
        <v>7</v>
      </c>
      <c r="D12" s="8" t="s">
        <v>67</v>
      </c>
      <c r="E12" s="8" t="s">
        <v>24</v>
      </c>
      <c r="F12" s="8" t="s">
        <v>68</v>
      </c>
    </row>
    <row r="13" customFormat="false" ht="23.85" hidden="false" customHeight="false" outlineLevel="0" collapsed="false">
      <c r="A13" s="8" t="s">
        <v>69</v>
      </c>
      <c r="B13" s="8" t="s">
        <v>70</v>
      </c>
      <c r="C13" s="8" t="s">
        <v>28</v>
      </c>
      <c r="D13" s="8" t="s">
        <v>67</v>
      </c>
      <c r="E13" s="8" t="s">
        <v>24</v>
      </c>
      <c r="F13" s="8" t="s">
        <v>71</v>
      </c>
    </row>
    <row r="14" customFormat="false" ht="15" hidden="false" customHeight="false" outlineLevel="0" collapsed="false">
      <c r="A14" s="8" t="s">
        <v>72</v>
      </c>
      <c r="B14" s="8" t="s">
        <v>73</v>
      </c>
      <c r="C14" s="8" t="s">
        <v>28</v>
      </c>
      <c r="D14" s="8" t="s">
        <v>74</v>
      </c>
      <c r="E14" s="8" t="s">
        <v>24</v>
      </c>
      <c r="F14" s="8" t="s">
        <v>75</v>
      </c>
    </row>
    <row r="15" customFormat="false" ht="15" hidden="false" customHeight="false" outlineLevel="0" collapsed="false">
      <c r="A15" s="8" t="s">
        <v>76</v>
      </c>
      <c r="B15" s="8" t="s">
        <v>77</v>
      </c>
      <c r="C15" s="8" t="s">
        <v>28</v>
      </c>
      <c r="D15" s="8" t="s">
        <v>78</v>
      </c>
      <c r="E15" s="8" t="s">
        <v>24</v>
      </c>
      <c r="F15" s="8" t="s">
        <v>79</v>
      </c>
    </row>
    <row r="16" customFormat="false" ht="23.85" hidden="false" customHeight="false" outlineLevel="0" collapsed="false">
      <c r="A16" s="8" t="s">
        <v>80</v>
      </c>
      <c r="B16" s="8" t="s">
        <v>81</v>
      </c>
      <c r="C16" s="8" t="s">
        <v>28</v>
      </c>
      <c r="D16" s="8" t="s">
        <v>63</v>
      </c>
      <c r="E16" s="8" t="s">
        <v>24</v>
      </c>
      <c r="F16" s="8" t="s">
        <v>82</v>
      </c>
    </row>
    <row r="17" customFormat="false" ht="23.85" hidden="false" customHeight="false" outlineLevel="0" collapsed="false">
      <c r="A17" s="8" t="s">
        <v>83</v>
      </c>
      <c r="B17" s="8" t="s">
        <v>84</v>
      </c>
      <c r="C17" s="8" t="s">
        <v>28</v>
      </c>
      <c r="D17" s="8" t="s">
        <v>63</v>
      </c>
      <c r="E17" s="8" t="s">
        <v>24</v>
      </c>
      <c r="F17" s="8" t="s">
        <v>85</v>
      </c>
    </row>
    <row r="18" customFormat="false" ht="23.85" hidden="false" customHeight="false" outlineLevel="0" collapsed="false">
      <c r="A18" s="8" t="s">
        <v>86</v>
      </c>
      <c r="B18" s="8" t="s">
        <v>87</v>
      </c>
      <c r="C18" s="8" t="s">
        <v>62</v>
      </c>
      <c r="D18" s="8" t="s">
        <v>63</v>
      </c>
      <c r="E18" s="8" t="s">
        <v>24</v>
      </c>
      <c r="F18" s="8" t="s">
        <v>88</v>
      </c>
    </row>
    <row r="19" customFormat="false" ht="15" hidden="false" customHeight="false" outlineLevel="0" collapsed="false">
      <c r="A19" s="8" t="s">
        <v>89</v>
      </c>
      <c r="B19" s="8" t="s">
        <v>90</v>
      </c>
      <c r="C19" s="8" t="s">
        <v>28</v>
      </c>
      <c r="D19" s="8" t="s">
        <v>63</v>
      </c>
      <c r="E19" s="8" t="s">
        <v>24</v>
      </c>
      <c r="F19" s="8" t="s">
        <v>91</v>
      </c>
    </row>
    <row r="20" customFormat="false" ht="23.85" hidden="false" customHeight="false" outlineLevel="0" collapsed="false">
      <c r="A20" s="8" t="s">
        <v>92</v>
      </c>
      <c r="B20" s="8" t="s">
        <v>93</v>
      </c>
      <c r="C20" s="8" t="s">
        <v>94</v>
      </c>
      <c r="D20" s="8" t="s">
        <v>67</v>
      </c>
      <c r="E20" s="8" t="s">
        <v>24</v>
      </c>
      <c r="F20" s="8" t="s">
        <v>95</v>
      </c>
    </row>
    <row r="21" customFormat="false" ht="23.85" hidden="false" customHeight="false" outlineLevel="0" collapsed="false">
      <c r="A21" s="8" t="s">
        <v>96</v>
      </c>
      <c r="B21" s="8" t="s">
        <v>97</v>
      </c>
      <c r="C21" s="8" t="s">
        <v>8</v>
      </c>
      <c r="D21" s="8" t="s">
        <v>23</v>
      </c>
      <c r="E21" s="8" t="s">
        <v>24</v>
      </c>
      <c r="F21" s="8" t="s">
        <v>98</v>
      </c>
    </row>
    <row r="22" customFormat="false" ht="23.85" hidden="false" customHeight="false" outlineLevel="0" collapsed="false">
      <c r="A22" s="8" t="s">
        <v>99</v>
      </c>
      <c r="B22" s="8" t="s">
        <v>100</v>
      </c>
      <c r="C22" s="8" t="s">
        <v>101</v>
      </c>
      <c r="D22" s="8" t="s">
        <v>102</v>
      </c>
      <c r="E22" s="8" t="s">
        <v>24</v>
      </c>
      <c r="F22" s="8" t="s">
        <v>103</v>
      </c>
    </row>
    <row r="23" customFormat="false" ht="15" hidden="false" customHeight="false" outlineLevel="0" collapsed="false">
      <c r="A23" s="8" t="s">
        <v>104</v>
      </c>
      <c r="B23" s="8" t="s">
        <v>105</v>
      </c>
      <c r="C23" s="8" t="s">
        <v>28</v>
      </c>
      <c r="D23" s="8" t="s">
        <v>106</v>
      </c>
      <c r="E23" s="8" t="s">
        <v>107</v>
      </c>
      <c r="F23" s="8" t="s">
        <v>108</v>
      </c>
    </row>
    <row r="24" customFormat="false" ht="23.85" hidden="false" customHeight="false" outlineLevel="0" collapsed="false">
      <c r="A24" s="8" t="s">
        <v>109</v>
      </c>
      <c r="B24" s="8" t="s">
        <v>110</v>
      </c>
      <c r="C24" s="8" t="s">
        <v>28</v>
      </c>
      <c r="D24" s="8" t="s">
        <v>106</v>
      </c>
      <c r="E24" s="8" t="s">
        <v>107</v>
      </c>
      <c r="F24" s="8" t="s">
        <v>111</v>
      </c>
    </row>
    <row r="25" customFormat="false" ht="35.05" hidden="false" customHeight="false" outlineLevel="0" collapsed="false">
      <c r="A25" s="8" t="s">
        <v>112</v>
      </c>
      <c r="B25" s="8" t="s">
        <v>113</v>
      </c>
      <c r="C25" s="8" t="s">
        <v>28</v>
      </c>
      <c r="D25" s="8" t="s">
        <v>106</v>
      </c>
      <c r="E25" s="8" t="s">
        <v>107</v>
      </c>
      <c r="F25" s="8" t="s">
        <v>114</v>
      </c>
    </row>
    <row r="26" customFormat="false" ht="23.85" hidden="false" customHeight="false" outlineLevel="0" collapsed="false">
      <c r="A26" s="8" t="s">
        <v>115</v>
      </c>
      <c r="B26" s="8" t="s">
        <v>116</v>
      </c>
      <c r="C26" s="8" t="s">
        <v>28</v>
      </c>
      <c r="D26" s="8" t="s">
        <v>106</v>
      </c>
      <c r="E26" s="8" t="s">
        <v>107</v>
      </c>
      <c r="F26" s="8" t="s">
        <v>117</v>
      </c>
    </row>
    <row r="27" customFormat="false" ht="35.05" hidden="false" customHeight="false" outlineLevel="0" collapsed="false">
      <c r="A27" s="8" t="s">
        <v>118</v>
      </c>
      <c r="B27" s="8" t="s">
        <v>119</v>
      </c>
      <c r="C27" s="8" t="s">
        <v>28</v>
      </c>
      <c r="D27" s="8" t="s">
        <v>106</v>
      </c>
      <c r="E27" s="8" t="s">
        <v>107</v>
      </c>
      <c r="F27" s="8" t="s">
        <v>120</v>
      </c>
    </row>
    <row r="28" customFormat="false" ht="23.85" hidden="false" customHeight="false" outlineLevel="0" collapsed="false">
      <c r="A28" s="8" t="s">
        <v>121</v>
      </c>
      <c r="B28" s="8" t="s">
        <v>122</v>
      </c>
      <c r="C28" s="8" t="s">
        <v>123</v>
      </c>
      <c r="D28" s="8" t="s">
        <v>106</v>
      </c>
      <c r="E28" s="8" t="s">
        <v>107</v>
      </c>
      <c r="F28" s="8" t="s">
        <v>124</v>
      </c>
    </row>
    <row r="29" customFormat="false" ht="23.85" hidden="false" customHeight="false" outlineLevel="0" collapsed="false">
      <c r="A29" s="8" t="s">
        <v>125</v>
      </c>
      <c r="B29" s="8" t="s">
        <v>126</v>
      </c>
      <c r="C29" s="8" t="s">
        <v>28</v>
      </c>
      <c r="D29" s="8" t="s">
        <v>106</v>
      </c>
      <c r="E29" s="8" t="s">
        <v>107</v>
      </c>
      <c r="F29" s="8" t="s">
        <v>127</v>
      </c>
    </row>
    <row r="30" customFormat="false" ht="35.05" hidden="false" customHeight="false" outlineLevel="0" collapsed="false">
      <c r="A30" s="8" t="s">
        <v>128</v>
      </c>
      <c r="B30" s="8" t="s">
        <v>129</v>
      </c>
      <c r="C30" s="8" t="s">
        <v>28</v>
      </c>
      <c r="D30" s="8" t="s">
        <v>106</v>
      </c>
      <c r="E30" s="8" t="s">
        <v>107</v>
      </c>
      <c r="F30" s="8" t="s">
        <v>130</v>
      </c>
    </row>
    <row r="31" customFormat="false" ht="23.85" hidden="false" customHeight="false" outlineLevel="0" collapsed="false">
      <c r="A31" s="8" t="s">
        <v>131</v>
      </c>
      <c r="B31" s="8" t="s">
        <v>132</v>
      </c>
      <c r="C31" s="8" t="s">
        <v>28</v>
      </c>
      <c r="D31" s="8" t="s">
        <v>106</v>
      </c>
      <c r="E31" s="8" t="s">
        <v>107</v>
      </c>
      <c r="F31" s="8" t="s">
        <v>133</v>
      </c>
    </row>
    <row r="32" customFormat="false" ht="46.25" hidden="false" customHeight="false" outlineLevel="0" collapsed="false">
      <c r="A32" s="8" t="s">
        <v>134</v>
      </c>
      <c r="B32" s="8" t="s">
        <v>135</v>
      </c>
      <c r="C32" s="8" t="s">
        <v>28</v>
      </c>
      <c r="D32" s="8" t="s">
        <v>106</v>
      </c>
      <c r="E32" s="8" t="s">
        <v>136</v>
      </c>
      <c r="F32" s="8" t="s">
        <v>137</v>
      </c>
    </row>
    <row r="33" customFormat="false" ht="46.25" hidden="false" customHeight="false" outlineLevel="0" collapsed="false">
      <c r="A33" s="8" t="s">
        <v>138</v>
      </c>
      <c r="B33" s="8" t="s">
        <v>139</v>
      </c>
      <c r="C33" s="8" t="s">
        <v>28</v>
      </c>
      <c r="D33" s="8" t="s">
        <v>106</v>
      </c>
      <c r="E33" s="8" t="s">
        <v>136</v>
      </c>
      <c r="F33" s="8" t="s">
        <v>140</v>
      </c>
    </row>
    <row r="34" customFormat="false" ht="23.85" hidden="false" customHeight="false" outlineLevel="0" collapsed="false">
      <c r="A34" s="8" t="s">
        <v>141</v>
      </c>
      <c r="B34" s="8" t="s">
        <v>142</v>
      </c>
      <c r="C34" s="8" t="s">
        <v>28</v>
      </c>
      <c r="D34" s="8" t="s">
        <v>106</v>
      </c>
      <c r="E34" s="8" t="s">
        <v>136</v>
      </c>
      <c r="F34" s="8" t="s">
        <v>143</v>
      </c>
    </row>
    <row r="35" customFormat="false" ht="35.05" hidden="false" customHeight="false" outlineLevel="0" collapsed="false">
      <c r="A35" s="8" t="s">
        <v>144</v>
      </c>
      <c r="B35" s="8" t="s">
        <v>145</v>
      </c>
      <c r="C35" s="8" t="s">
        <v>28</v>
      </c>
      <c r="D35" s="8" t="s">
        <v>106</v>
      </c>
      <c r="E35" s="8" t="s">
        <v>136</v>
      </c>
      <c r="F35" s="8" t="s">
        <v>146</v>
      </c>
    </row>
  </sheetData>
  <autoFilter ref="A1:F35"/>
  <conditionalFormatting sqref="C2:C35">
    <cfRule type="expression" priority="2" aboveAverage="0" equalAverage="0" bottom="0" percent="0" rank="0" text="" dxfId="6">
      <formula>LEFT($C2,8)="Erledigt"</formula>
    </cfRule>
    <cfRule type="expression" priority="3" aboveAverage="0" equalAverage="0" bottom="0" percent="0" rank="0" text="" dxfId="7">
      <formula>OR(LEFT($C2,10)="Abweichung",LEFT($C2,11)="Platzhalter",LEFT($C2,9)="Teilweise")</formula>
    </cfRule>
    <cfRule type="expression" priority="4" aboveAverage="0" equalAverage="0" bottom="0" percent="0" rank="0" text="" dxfId="8">
      <formula>LEFT($C2,7)="Ersetzt"</formula>
    </cfRule>
  </conditionalFormatting>
  <dataValidations count="1">
    <dataValidation allowBlank="true" errorStyle="stop" operator="between" showDropDown="false" showErrorMessage="false" showInputMessage="false" sqref="C2:C200" type="list">
      <formula1>"Erledigt,Erledigt (erklärt),Erledigt (Layout geändert),Erledigt – offene Punkte,Erledigt – Teamdaten fehlen,Abweichung,Platzhalter,Teilweise – niedrige Priorität,Ersetzt durch REQ-28,Offen,In Arbeit"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3" min="3" style="0" width="9"/>
    <col collapsed="false" customWidth="true" hidden="false" outlineLevel="0" max="4" min="4" style="0" width="45"/>
    <col collapsed="false" customWidth="true" hidden="false" outlineLevel="0" max="6" min="5" style="0" width="55"/>
    <col collapsed="false" customWidth="true" hidden="false" outlineLevel="0" max="7" min="7" style="0" width="24"/>
    <col collapsed="false" customWidth="true" hidden="false" outlineLevel="0" max="8" min="8" style="0" width="10"/>
    <col collapsed="false" customWidth="true" hidden="false" outlineLevel="0" max="9" min="9" style="0" width="12"/>
    <col collapsed="false" customWidth="true" hidden="false" outlineLevel="0" max="10" min="10" style="0" width="60"/>
  </cols>
  <sheetData>
    <row r="1" customFormat="false" ht="30" hidden="false" customHeight="true" outlineLevel="0" collapsed="false">
      <c r="A1" s="7" t="s">
        <v>14</v>
      </c>
      <c r="B1" s="7" t="s">
        <v>147</v>
      </c>
      <c r="C1" s="7" t="s">
        <v>148</v>
      </c>
      <c r="D1" s="7" t="s">
        <v>149</v>
      </c>
      <c r="E1" s="7" t="s">
        <v>150</v>
      </c>
      <c r="F1" s="7" t="s">
        <v>151</v>
      </c>
      <c r="G1" s="7" t="s">
        <v>152</v>
      </c>
      <c r="H1" s="7" t="s">
        <v>153</v>
      </c>
      <c r="I1" s="7" t="s">
        <v>16</v>
      </c>
      <c r="J1" s="7" t="s">
        <v>154</v>
      </c>
    </row>
    <row r="2" customFormat="false" ht="35.05" hidden="false" customHeight="false" outlineLevel="0" collapsed="false">
      <c r="A2" s="8" t="s">
        <v>104</v>
      </c>
      <c r="B2" s="8" t="s">
        <v>155</v>
      </c>
      <c r="C2" s="8" t="s">
        <v>106</v>
      </c>
      <c r="D2" s="8" t="s">
        <v>156</v>
      </c>
      <c r="E2" s="8" t="s">
        <v>157</v>
      </c>
      <c r="F2" s="8" t="s">
        <v>158</v>
      </c>
      <c r="G2" s="8" t="s">
        <v>159</v>
      </c>
      <c r="H2" s="8" t="s">
        <v>160</v>
      </c>
      <c r="I2" s="8" t="s">
        <v>28</v>
      </c>
      <c r="J2" s="8" t="s">
        <v>108</v>
      </c>
    </row>
    <row r="3" customFormat="false" ht="46.25" hidden="false" customHeight="false" outlineLevel="0" collapsed="false">
      <c r="A3" s="8" t="s">
        <v>109</v>
      </c>
      <c r="B3" s="8" t="s">
        <v>155</v>
      </c>
      <c r="C3" s="8" t="s">
        <v>106</v>
      </c>
      <c r="D3" s="8" t="s">
        <v>161</v>
      </c>
      <c r="E3" s="8" t="s">
        <v>162</v>
      </c>
      <c r="F3" s="8" t="s">
        <v>163</v>
      </c>
      <c r="G3" s="8" t="s">
        <v>164</v>
      </c>
      <c r="H3" s="8" t="s">
        <v>160</v>
      </c>
      <c r="I3" s="8" t="s">
        <v>28</v>
      </c>
      <c r="J3" s="8" t="s">
        <v>111</v>
      </c>
    </row>
    <row r="4" customFormat="false" ht="68.65" hidden="false" customHeight="false" outlineLevel="0" collapsed="false">
      <c r="A4" s="8" t="s">
        <v>112</v>
      </c>
      <c r="B4" s="8" t="s">
        <v>155</v>
      </c>
      <c r="C4" s="8" t="s">
        <v>106</v>
      </c>
      <c r="D4" s="8" t="s">
        <v>165</v>
      </c>
      <c r="E4" s="8" t="s">
        <v>166</v>
      </c>
      <c r="F4" s="8" t="s">
        <v>167</v>
      </c>
      <c r="G4" s="8" t="s">
        <v>164</v>
      </c>
      <c r="H4" s="8" t="s">
        <v>160</v>
      </c>
      <c r="I4" s="8" t="s">
        <v>28</v>
      </c>
      <c r="J4" s="8" t="s">
        <v>114</v>
      </c>
    </row>
    <row r="5" customFormat="false" ht="46.25" hidden="false" customHeight="false" outlineLevel="0" collapsed="false">
      <c r="A5" s="8" t="s">
        <v>115</v>
      </c>
      <c r="B5" s="8" t="s">
        <v>155</v>
      </c>
      <c r="C5" s="8" t="s">
        <v>106</v>
      </c>
      <c r="D5" s="8" t="s">
        <v>168</v>
      </c>
      <c r="E5" s="8" t="s">
        <v>169</v>
      </c>
      <c r="F5" s="8" t="s">
        <v>170</v>
      </c>
      <c r="G5" s="8" t="s">
        <v>164</v>
      </c>
      <c r="H5" s="8" t="s">
        <v>171</v>
      </c>
      <c r="I5" s="8" t="s">
        <v>28</v>
      </c>
      <c r="J5" s="8" t="s">
        <v>117</v>
      </c>
    </row>
    <row r="6" customFormat="false" ht="46.25" hidden="false" customHeight="false" outlineLevel="0" collapsed="false">
      <c r="A6" s="8" t="s">
        <v>118</v>
      </c>
      <c r="B6" s="8" t="s">
        <v>155</v>
      </c>
      <c r="C6" s="8" t="s">
        <v>106</v>
      </c>
      <c r="D6" s="8" t="s">
        <v>172</v>
      </c>
      <c r="E6" s="8" t="s">
        <v>173</v>
      </c>
      <c r="F6" s="8" t="s">
        <v>174</v>
      </c>
      <c r="G6" s="8" t="s">
        <v>175</v>
      </c>
      <c r="H6" s="8" t="s">
        <v>160</v>
      </c>
      <c r="I6" s="8" t="s">
        <v>28</v>
      </c>
      <c r="J6" s="8" t="s">
        <v>120</v>
      </c>
    </row>
    <row r="7" customFormat="false" ht="46.25" hidden="false" customHeight="false" outlineLevel="0" collapsed="false">
      <c r="A7" s="8" t="s">
        <v>121</v>
      </c>
      <c r="B7" s="8" t="s">
        <v>155</v>
      </c>
      <c r="C7" s="8" t="s">
        <v>106</v>
      </c>
      <c r="D7" s="8" t="s">
        <v>176</v>
      </c>
      <c r="E7" s="8" t="s">
        <v>177</v>
      </c>
      <c r="F7" s="8" t="s">
        <v>178</v>
      </c>
      <c r="G7" s="8" t="s">
        <v>164</v>
      </c>
      <c r="H7" s="8" t="s">
        <v>160</v>
      </c>
      <c r="I7" s="8" t="s">
        <v>10</v>
      </c>
      <c r="J7" s="8" t="s">
        <v>124</v>
      </c>
    </row>
    <row r="8" customFormat="false" ht="46.25" hidden="false" customHeight="false" outlineLevel="0" collapsed="false">
      <c r="A8" s="8" t="s">
        <v>125</v>
      </c>
      <c r="B8" s="8" t="s">
        <v>155</v>
      </c>
      <c r="C8" s="8" t="s">
        <v>106</v>
      </c>
      <c r="D8" s="8" t="s">
        <v>179</v>
      </c>
      <c r="E8" s="8" t="s">
        <v>180</v>
      </c>
      <c r="F8" s="8" t="s">
        <v>181</v>
      </c>
      <c r="G8" s="8" t="s">
        <v>164</v>
      </c>
      <c r="H8" s="8" t="s">
        <v>160</v>
      </c>
      <c r="I8" s="8" t="s">
        <v>28</v>
      </c>
      <c r="J8" s="8" t="s">
        <v>127</v>
      </c>
    </row>
    <row r="9" customFormat="false" ht="57.45" hidden="false" customHeight="false" outlineLevel="0" collapsed="false">
      <c r="A9" s="8" t="s">
        <v>128</v>
      </c>
      <c r="B9" s="8" t="s">
        <v>155</v>
      </c>
      <c r="C9" s="8" t="s">
        <v>106</v>
      </c>
      <c r="D9" s="8" t="s">
        <v>182</v>
      </c>
      <c r="E9" s="8" t="s">
        <v>183</v>
      </c>
      <c r="F9" s="8" t="s">
        <v>184</v>
      </c>
      <c r="G9" s="8" t="s">
        <v>175</v>
      </c>
      <c r="H9" s="8" t="s">
        <v>160</v>
      </c>
      <c r="I9" s="8" t="s">
        <v>28</v>
      </c>
      <c r="J9" s="8" t="s">
        <v>130</v>
      </c>
    </row>
    <row r="10" customFormat="false" ht="46.25" hidden="false" customHeight="false" outlineLevel="0" collapsed="false">
      <c r="A10" s="8" t="s">
        <v>131</v>
      </c>
      <c r="B10" s="8" t="s">
        <v>155</v>
      </c>
      <c r="C10" s="8" t="s">
        <v>106</v>
      </c>
      <c r="D10" s="8" t="s">
        <v>185</v>
      </c>
      <c r="E10" s="8" t="s">
        <v>186</v>
      </c>
      <c r="F10" s="8" t="s">
        <v>187</v>
      </c>
      <c r="G10" s="8" t="s">
        <v>188</v>
      </c>
      <c r="H10" s="8" t="s">
        <v>171</v>
      </c>
      <c r="I10" s="8" t="s">
        <v>28</v>
      </c>
      <c r="J10" s="8" t="s">
        <v>133</v>
      </c>
    </row>
    <row r="11" customFormat="false" ht="57.45" hidden="false" customHeight="false" outlineLevel="0" collapsed="false">
      <c r="A11" s="8" t="s">
        <v>134</v>
      </c>
      <c r="B11" s="8" t="s">
        <v>155</v>
      </c>
      <c r="C11" s="8" t="s">
        <v>106</v>
      </c>
      <c r="D11" s="8" t="s">
        <v>189</v>
      </c>
      <c r="E11" s="8" t="s">
        <v>190</v>
      </c>
      <c r="F11" s="8" t="s">
        <v>191</v>
      </c>
      <c r="G11" s="8" t="s">
        <v>192</v>
      </c>
      <c r="H11" s="8" t="s">
        <v>193</v>
      </c>
      <c r="I11" s="8" t="s">
        <v>28</v>
      </c>
      <c r="J11" s="8" t="s">
        <v>137</v>
      </c>
    </row>
    <row r="12" customFormat="false" ht="91" hidden="false" customHeight="false" outlineLevel="0" collapsed="false">
      <c r="A12" s="8" t="s">
        <v>138</v>
      </c>
      <c r="B12" s="8" t="s">
        <v>155</v>
      </c>
      <c r="C12" s="8" t="s">
        <v>106</v>
      </c>
      <c r="D12" s="8" t="s">
        <v>194</v>
      </c>
      <c r="E12" s="8" t="s">
        <v>195</v>
      </c>
      <c r="F12" s="8" t="s">
        <v>196</v>
      </c>
      <c r="G12" s="8" t="s">
        <v>192</v>
      </c>
      <c r="H12" s="8" t="s">
        <v>193</v>
      </c>
      <c r="I12" s="8" t="s">
        <v>28</v>
      </c>
      <c r="J12" s="8" t="s">
        <v>140</v>
      </c>
    </row>
    <row r="13" customFormat="false" ht="46.25" hidden="false" customHeight="false" outlineLevel="0" collapsed="false">
      <c r="A13" s="8" t="s">
        <v>141</v>
      </c>
      <c r="B13" s="8" t="s">
        <v>155</v>
      </c>
      <c r="C13" s="8" t="s">
        <v>106</v>
      </c>
      <c r="D13" s="8" t="s">
        <v>197</v>
      </c>
      <c r="E13" s="8" t="s">
        <v>198</v>
      </c>
      <c r="F13" s="8" t="s">
        <v>199</v>
      </c>
      <c r="G13" s="8" t="s">
        <v>175</v>
      </c>
      <c r="H13" s="8" t="s">
        <v>160</v>
      </c>
      <c r="I13" s="8" t="s">
        <v>28</v>
      </c>
      <c r="J13" s="8" t="s">
        <v>143</v>
      </c>
    </row>
    <row r="14" customFormat="false" ht="46.25" hidden="false" customHeight="false" outlineLevel="0" collapsed="false">
      <c r="A14" s="8" t="s">
        <v>144</v>
      </c>
      <c r="B14" s="8" t="s">
        <v>155</v>
      </c>
      <c r="C14" s="8" t="s">
        <v>106</v>
      </c>
      <c r="D14" s="8" t="s">
        <v>200</v>
      </c>
      <c r="E14" s="8" t="s">
        <v>201</v>
      </c>
      <c r="F14" s="8" t="s">
        <v>202</v>
      </c>
      <c r="G14" s="8" t="s">
        <v>203</v>
      </c>
      <c r="H14" s="8" t="s">
        <v>160</v>
      </c>
      <c r="I14" s="8" t="s">
        <v>28</v>
      </c>
      <c r="J14" s="8" t="s">
        <v>146</v>
      </c>
    </row>
  </sheetData>
  <autoFilter ref="A1:J14"/>
  <dataValidations count="2">
    <dataValidation allowBlank="true" errorStyle="stop" operator="between" showDropDown="false" showErrorMessage="false" showInputMessage="false" sqref="I2:I500" type="list">
      <formula1>"Offen,In Arbeit,Erledigt,Abweichung,Ersetzt,Verworfen"</formula1>
      <formula2>0</formula2>
    </dataValidation>
    <dataValidation allowBlank="true" errorStyle="stop" operator="between" showDropDown="false" showErrorMessage="false" showInputMessage="false" sqref="H2:H500" type="list">
      <formula1>"Hoch,Mittel,Niedrig"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23.85" hidden="false" customHeight="false" outlineLevel="0" collapsed="false">
      <c r="A1" s="9" t="s">
        <v>204</v>
      </c>
    </row>
    <row r="2" customFormat="false" ht="23.85" hidden="false" customHeight="false" outlineLevel="0" collapsed="false">
      <c r="A2" s="9" t="s">
        <v>205</v>
      </c>
    </row>
    <row r="3" customFormat="false" ht="15" hidden="false" customHeight="false" outlineLevel="0" collapsed="false">
      <c r="A3" s="9" t="s">
        <v>206</v>
      </c>
    </row>
    <row r="4" customFormat="false" ht="15" hidden="false" customHeight="false" outlineLevel="0" collapsed="false">
      <c r="A4" s="9" t="s">
        <v>207</v>
      </c>
    </row>
    <row r="5" customFormat="false" ht="15" hidden="false" customHeight="false" outlineLevel="0" collapsed="false">
      <c r="A5" s="9" t="s">
        <v>208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2026-10-17T16:43:09Z</dcterms:created>
  <dc:creator>openpyxl</dc:creator>
  <dc:description/>
  <dc:language>en-US</dc:language>
  <cp:lastModifiedBy/>
  <dcterms:modified xsi:type="dcterms:W3CDTF">2026-10-17T16:43:09Z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