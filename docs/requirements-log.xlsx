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Übersicht" sheetId="1" state="visible" r:id="rId1"/>
    <sheet xmlns:r="http://schemas.openxmlformats.org/officeDocument/2006/relationships" name="Requirements" sheetId="2" state="visible" r:id="rId2"/>
    <sheet xmlns:r="http://schemas.openxmlformats.org/officeDocument/2006/relationships" name="Requirements-Log" sheetId="3" state="visible" r:id="rId3"/>
    <sheet xmlns:r="http://schemas.openxmlformats.org/officeDocument/2006/relationships" name="Hinweise" sheetId="4" state="visible" r:id="rId4"/>
  </sheets>
  <definedNames>
    <definedName name="_xlnm._FilterDatabase" localSheetId="1" hidden="1">'Requirements'!$A$1:$F$35</definedName>
    <definedName name="_xlnm._FilterDatabase" localSheetId="2" hidden="1">'Requirements-Log'!$A$1:$J$14</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i val="1"/>
      <color rgb="FF555555"/>
      <sz val="10"/>
    </font>
    <font>
      <name val="Arial"/>
      <charset val="1"/>
      <family val="0"/>
      <b val="1"/>
      <color rgb="FFFFFFFF"/>
      <sz val="11"/>
    </font>
    <font>
      <name val="Arial"/>
      <charset val="1"/>
      <family val="0"/>
      <sz val="10"/>
    </font>
    <font>
      <name val="Arial"/>
      <charset val="1"/>
      <family val="0"/>
      <b val="1"/>
      <sz val="10"/>
    </font>
    <font>
      <name val="Arial"/>
      <charset val="1"/>
      <family val="0"/>
      <i val="1"/>
      <color rgb="FF555555"/>
      <sz val="9"/>
    </font>
  </fonts>
  <fills count="3">
    <fill>
      <patternFill/>
    </fill>
    <fill>
      <patternFill patternType="gray125"/>
    </fill>
    <fill>
      <patternFill patternType="solid">
        <fgColor rgb="FF1F2A44"/>
        <bgColor rgb="FF003366"/>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0" fontId="8" fillId="0" borderId="1" applyAlignment="1" pivotButton="0" quotePrefix="0" xfId="0">
      <alignment horizontal="right" vertical="bottom"/>
    </xf>
    <xf numFmtId="0" fontId="9"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0" fontId="8" fillId="0" borderId="1" applyAlignment="1" pivotButton="0" quotePrefix="0" xfId="0">
      <alignment horizontal="right" vertical="bottom"/>
    </xf>
    <xf numFmtId="0" fontId="7" fillId="0" borderId="1" applyAlignment="1" pivotButton="0" quotePrefix="0" xfId="0">
      <alignment horizontal="general" vertical="bottom"/>
    </xf>
    <xf numFmtId="0" fontId="8" fillId="0" borderId="1" applyAlignment="1" pivotButton="0" quotePrefix="0" xfId="0">
      <alignment horizontal="right" vertical="bottom"/>
    </xf>
    <xf numFmtId="0" fontId="9"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2A44"/>
          <bgColor rgb="FF000000"/>
        </patternFill>
      </fill>
    </dxf>
    <dxf>
      <fill>
        <patternFill patternType="solid">
          <bgColor rgb="FF000000"/>
        </patternFill>
      </fill>
    </dxf>
    <dxf>
      <fill>
        <patternFill patternType="solid">
          <fgColor rgb="FFFFFFFF"/>
          <bgColor rgb="FF000000"/>
        </patternFill>
      </fill>
    </dxf>
    <dxf>
      <fill>
        <patternFill patternType="solid">
          <fgColor rgb="FFE6F4EA"/>
          <bgColor rgb="FF000000"/>
        </patternFill>
      </fill>
    </dxf>
    <dxf>
      <fill>
        <patternFill patternType="solid">
          <fgColor rgb="FFEEEEEE"/>
          <bgColor rgb="FF000000"/>
        </patternFill>
      </fill>
    </dxf>
    <dxf>
      <fill>
        <patternFill patternType="solid">
          <fgColor rgb="FFFFF4E5"/>
          <bgColor rgb="FF000000"/>
        </patternFill>
      </fill>
    </dxf>
    <dxf>
      <fill>
        <patternFill>
          <bgColor rgb="FFE6F4EA"/>
        </patternFill>
      </fill>
    </dxf>
    <dxf>
      <fill>
        <patternFill>
          <bgColor rgb="FFFFF4E5"/>
        </patternFill>
      </fill>
    </dxf>
    <dxf>
      <fill>
        <patternFill>
          <bgColor rgb="FFEEEE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E5"/>
      <rgbColor rgb="FFE6F4EA"/>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EEEEE"/>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0" min="1" max="1"/>
    <col width="12" customWidth="1" style="10" min="2" max="2"/>
  </cols>
  <sheetData>
    <row r="1" ht="19.7" customHeight="1" s="11">
      <c r="A1" s="12" t="inlineStr">
        <is>
          <t>ALITA – Requirements</t>
        </is>
      </c>
    </row>
    <row r="2" ht="15" customHeight="1" s="11">
      <c r="A2" s="13" t="inlineStr">
        <is>
          <t>Stand: Release 2.2.0 vom 29.10.2026 · REQ-01 – REQ-21 aus dem Review von 2.0.0, REQ-22 – REQ-34 aus der Sitzung vom 17.10.2026 (inkl. Feedback von Dustin), REQ-35 – REQ-36 aus der Sitzung vom 29.10.2026</t>
        </is>
      </c>
    </row>
    <row r="4" ht="15" customHeight="1" s="11">
      <c r="A4" s="14" t="inlineStr">
        <is>
          <t>Kennzahl</t>
        </is>
      </c>
      <c r="B4" s="14" t="inlineStr">
        <is>
          <t>Anzahl</t>
        </is>
      </c>
    </row>
    <row r="5" ht="15" customHeight="1" s="11">
      <c r="A5" s="15" t="inlineStr">
        <is>
          <t>Requirements gesamt</t>
        </is>
      </c>
      <c r="B5" s="16">
        <f>COUNTA(Requirements!A2:A200)</f>
        <v/>
      </c>
    </row>
    <row r="6" ht="15" customHeight="1" s="11">
      <c r="A6" s="15" t="inlineStr">
        <is>
          <t>Erledigt (alle Varianten von „Erledigt“)</t>
        </is>
      </c>
      <c r="B6" s="16">
        <f>COUNTIF(Requirements!C2:C200,"Erledigt*")</f>
        <v/>
      </c>
    </row>
    <row r="7" ht="15" customHeight="1" s="11">
      <c r="A7" s="15" t="inlineStr">
        <is>
          <t>davon mit offenen Punkten / fehlenden Daten</t>
        </is>
      </c>
      <c r="B7" s="16">
        <f>COUNTIF(Requirements!C2:C200,"*offene Punkte*")+COUNTIF(Requirements!C2:C200,"*fehlen*")</f>
        <v/>
      </c>
    </row>
    <row r="8" ht="15" customHeight="1" s="11">
      <c r="A8" s="15" t="inlineStr">
        <is>
          <t>Abweichung</t>
        </is>
      </c>
      <c r="B8" s="16">
        <f>COUNTIF(Requirements!C2:C200,"Abweichung*")</f>
        <v/>
      </c>
    </row>
    <row r="9" ht="15" customHeight="1" s="11">
      <c r="A9" s="15" t="inlineStr">
        <is>
          <t>Platzhalter</t>
        </is>
      </c>
      <c r="B9" s="16">
        <f>COUNTIF(Requirements!C2:C200,"Platzhalter*")</f>
        <v/>
      </c>
    </row>
    <row r="10" ht="15" customHeight="1" s="11">
      <c r="A10" s="15" t="inlineStr">
        <is>
          <t>Teilweise</t>
        </is>
      </c>
      <c r="B10" s="16">
        <f>COUNTIF(Requirements!C2:C200,"Teilweise*")</f>
        <v/>
      </c>
    </row>
    <row r="11" ht="15" customHeight="1" s="11">
      <c r="A11" s="15" t="inlineStr">
        <is>
          <t>Ersetzt</t>
        </is>
      </c>
      <c r="B11" s="16">
        <f>COUNTIF(Requirements!C2:C200,"Ersetzt*")</f>
        <v/>
      </c>
    </row>
    <row r="12" ht="15" customHeight="1" s="11">
      <c r="A12" s="17" t="inlineStr">
        <is>
          <t>Offen</t>
        </is>
      </c>
      <c r="B12" s="18">
        <f>COUNTIF(Requirements!C2:C200,"Offen*")</f>
        <v/>
      </c>
    </row>
    <row r="13" ht="15" customHeight="1" s="11">
      <c r="A13" s="15" t="inlineStr">
        <is>
          <t>Neu in Release 2.2.0</t>
        </is>
      </c>
      <c r="B13" s="16">
        <f>COUNTIF(Requirements!D2:D200,"2.2.0*")</f>
        <v/>
      </c>
    </row>
    <row r="14">
      <c r="A14" s="15" t="inlineStr">
        <is>
          <t>Davon aus Feedback von Dustin</t>
        </is>
      </c>
      <c r="B14" s="16">
        <f>COUNTIF(Requirements!E2:E200,"Dustin*")</f>
        <v/>
      </c>
    </row>
    <row r="15" ht="15" customHeight="1" s="11"/>
    <row r="16">
      <c r="A16" s="19" t="inlineStr">
        <is>
          <t>Die Zahlen werden per Formel aus dem Blatt „Requirements“ gezählt und aktualisieren sich, wenn dort Status geändert oder Zeilen ergänzt werden.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38" customWidth="1" style="10" min="2" max="2"/>
    <col width="26" customWidth="1" style="10" min="3" max="3"/>
    <col width="20" customWidth="1" style="10" min="4" max="5"/>
    <col width="90" customWidth="1" style="10" min="6" max="6"/>
  </cols>
  <sheetData>
    <row r="1" ht="30" customHeight="1" s="11">
      <c r="A1" s="20" t="inlineStr">
        <is>
          <t>ID</t>
        </is>
      </c>
      <c r="B1" s="20" t="inlineStr">
        <is>
          <t>Requirement</t>
        </is>
      </c>
      <c r="C1" s="20" t="inlineStr">
        <is>
          <t>Status</t>
        </is>
      </c>
      <c r="D1" s="20" t="inlineStr">
        <is>
          <t>Release(s)</t>
        </is>
      </c>
      <c r="E1" s="20" t="inlineStr">
        <is>
          <t>Quelle</t>
        </is>
      </c>
      <c r="F1" s="20" t="inlineStr">
        <is>
          <t>Umsetzung</t>
        </is>
      </c>
    </row>
    <row r="2" ht="23.85" customHeight="1" s="11">
      <c r="A2" s="21" t="inlineStr">
        <is>
          <t>REQ-01</t>
        </is>
      </c>
      <c r="B2" s="21" t="inlineStr">
        <is>
          <t>Arbeitsfläche in vier Bereiche</t>
        </is>
      </c>
      <c r="C2" s="21" t="inlineStr">
        <is>
          <t>Erledigt (Layout geändert)</t>
        </is>
      </c>
      <c r="D2" s="21" t="inlineStr">
        <is>
          <t>1.11.0 · 2.1.0</t>
        </is>
      </c>
      <c r="E2" s="21" t="inlineStr">
        <is>
          <t>Review 2.0.0</t>
        </is>
      </c>
      <c r="F2" s="21" t="inlineStr">
        <is>
          <t>B-Seite in Bereiche aufgeteilt; seit 2.1.0: Karte links über die volle Höhe, rechts Projects &amp; clusters (⅔) über dem Graph Chat (⅓), Window to the outside als Button mit Pop-up.</t>
        </is>
      </c>
    </row>
    <row r="3" ht="23.85" customHeight="1" s="11">
      <c r="A3" s="21" t="inlineStr">
        <is>
          <t>REQ-02</t>
        </is>
      </c>
      <c r="B3" s="21" t="inlineStr">
        <is>
          <t>Karte immer sichtbar</t>
        </is>
      </c>
      <c r="C3" s="21" t="inlineStr">
        <is>
          <t>Erledigt</t>
        </is>
      </c>
      <c r="D3" s="21" t="inlineStr">
        <is>
          <t>1.12.0</t>
        </is>
      </c>
      <c r="E3" s="21" t="inlineStr">
        <is>
          <t>Review 2.0.0</t>
        </is>
      </c>
      <c r="F3" s="21" t="inlineStr">
        <is>
          <t>Seite passt in die Fensterhöhe; Dokumente und Projekte öffnen im Bereich Projects &amp; clusters, die Karte verschwindet nie.</t>
        </is>
      </c>
    </row>
    <row r="4" ht="23.85" customHeight="1" s="11">
      <c r="A4" s="21" t="inlineStr">
        <is>
          <t>REQ-03</t>
        </is>
      </c>
      <c r="B4" s="21" t="inlineStr">
        <is>
          <t>Import vieler Projekte/Ordner</t>
        </is>
      </c>
      <c r="C4" s="21" t="inlineStr">
        <is>
          <t>Erledigt</t>
        </is>
      </c>
      <c r="D4" s="21" t="inlineStr">
        <is>
          <t>vor 1.0 · 1.16.0</t>
        </is>
      </c>
      <c r="E4" s="21" t="inlineStr">
        <is>
          <t>Review 2.0.0</t>
        </is>
      </c>
      <c r="F4" s="21" t="inlineStr">
        <is>
          <t>Alle Projektordner in einer gemeinsamen Karte; „Add new data“ lädt mehrere Projekte (je ein ZIP) mit Zieldatenbank, Datentyp und Gesamtdatum.</t>
        </is>
      </c>
    </row>
    <row r="5" ht="15" customHeight="1" s="11">
      <c r="A5" s="21" t="inlineStr">
        <is>
          <t>REQ-04</t>
        </is>
      </c>
      <c r="B5" s="21" t="inlineStr">
        <is>
          <t>Sprechende Cluster-Namen</t>
        </is>
      </c>
      <c r="C5" s="21" t="inlineStr">
        <is>
          <t>Erledigt</t>
        </is>
      </c>
      <c r="D5" s="21" t="inlineStr">
        <is>
          <t>1.10.0</t>
        </is>
      </c>
      <c r="E5" s="21" t="inlineStr">
        <is>
          <t>Review 2.0.0</t>
        </is>
      </c>
      <c r="F5" s="21" t="inlineStr">
        <is>
          <t>Jeder Clustering-Lauf erzeugt kurze, beschreibende Namen statt „Cluster 3“ oder Begriffslisten.</t>
        </is>
      </c>
    </row>
    <row r="6" ht="23.85" customHeight="1" s="11">
      <c r="A6" s="21" t="inlineStr">
        <is>
          <t>REQ-05</t>
        </is>
      </c>
      <c r="B6" s="21" t="inlineStr">
        <is>
          <t>Cluster-Zusammenfassung</t>
        </is>
      </c>
      <c r="C6" s="21" t="inlineStr">
        <is>
          <t>Erledigt</t>
        </is>
      </c>
      <c r="D6" s="21" t="inlineStr">
        <is>
          <t>1.4.0 · 1.9.0 · 1.12.0 · 1.13.0</t>
        </is>
      </c>
      <c r="E6" s="21" t="inlineStr">
        <is>
          <t>Review 2.0.0</t>
        </is>
      </c>
      <c r="F6" s="21" t="inlineStr">
        <is>
          <t>Beschreibung, Kernaussagen, verwendete Analysen; angedocktes Panel; verbundene Cluster; Dokumentliste.</t>
        </is>
      </c>
    </row>
    <row r="7" ht="15" customHeight="1" s="11">
      <c r="A7" s="21" t="inlineStr">
        <is>
          <t>REQ-06</t>
        </is>
      </c>
      <c r="B7" s="21" t="inlineStr">
        <is>
          <t>3D-Navigation als Hauptansicht</t>
        </is>
      </c>
      <c r="C7" s="21" t="inlineStr">
        <is>
          <t>Erledigt</t>
        </is>
      </c>
      <c r="D7" s="21" t="inlineStr">
        <is>
          <t>1.3.0 · 1.5.0 · 1.14.0</t>
        </is>
      </c>
      <c r="E7" s="21" t="inlineStr">
        <is>
          <t>Review 2.0.0</t>
        </is>
      </c>
      <c r="F7" s="21" t="inlineStr">
        <is>
          <t>3D-Raum mit Zeit; 3D als Standard; drei Ebenen Projekte &amp; Paper → Cluster → Dokumente; „⟲ Reset view“.</t>
        </is>
      </c>
    </row>
    <row r="8" ht="15" customHeight="1" s="11">
      <c r="A8" s="21" t="inlineStr">
        <is>
          <t>REQ-07</t>
        </is>
      </c>
      <c r="B8" s="21" t="inlineStr">
        <is>
          <t>Zuverlässige Cluster-Erkennung</t>
        </is>
      </c>
      <c r="C8" s="21" t="inlineStr">
        <is>
          <t>Erledigt</t>
        </is>
      </c>
      <c r="D8" s="21" t="inlineStr">
        <is>
          <t>0.8.0 · 1.8.0</t>
        </is>
      </c>
      <c r="E8" s="21" t="inlineStr">
        <is>
          <t>Review 2.0.0</t>
        </is>
      </c>
      <c r="F8" s="21" t="inlineStr">
        <is>
          <t>Mindestens 3 Cluster je Datensatz; Projektdateien einzeln geclustert – Magnolia hat rund 10 Cluster statt 1.</t>
        </is>
      </c>
    </row>
    <row r="9" ht="23.85" customHeight="1" s="11">
      <c r="A9" s="21" t="inlineStr">
        <is>
          <t>REQ-08</t>
        </is>
      </c>
      <c r="B9" s="21" t="inlineStr">
        <is>
          <t>Korrektes Laden der Dokumente</t>
        </is>
      </c>
      <c r="C9" s="21" t="inlineStr">
        <is>
          <t>Erledigt (erklärt)</t>
        </is>
      </c>
      <c r="D9" s="21" t="inlineStr">
        <is>
          <t>1.13.0</t>
        </is>
      </c>
      <c r="E9" s="21" t="inlineStr">
        <is>
          <t>Review 2.0.0</t>
        </is>
      </c>
      <c r="F9" s="21" t="inlineStr">
        <is>
          <t>Nichts fehlte: 146 Dateien sind bewusst ausgeschlossene Literaturordner (PROJECT_EXCLUDE); Datenbank-Info zeigt Anzahl und Regel.</t>
        </is>
      </c>
    </row>
    <row r="10" ht="23.85" customHeight="1" s="11">
      <c r="A10" s="21" t="inlineStr">
        <is>
          <t>REQ-09</t>
        </is>
      </c>
      <c r="B10" s="21" t="inlineStr">
        <is>
          <t>Direkte Cluster-/Projektansicht</t>
        </is>
      </c>
      <c r="C10" s="21" t="inlineStr">
        <is>
          <t>Erledigt</t>
        </is>
      </c>
      <c r="D10" s="21" t="inlineStr">
        <is>
          <t>1.12.0 · 1.13.0</t>
        </is>
      </c>
      <c r="E10" s="21" t="inlineStr">
        <is>
          <t>Review 2.0.0</t>
        </is>
      </c>
      <c r="F10" s="21" t="inlineStr">
        <is>
          <t>Klick in die Karte zeigt rechts den Inhalt: Dokumentlisten der Cluster, Projektkarte mit Dateien, Clustern und Team.</t>
        </is>
      </c>
    </row>
    <row r="11" ht="23.85" customHeight="1" s="11">
      <c r="A11" s="21" t="inlineStr">
        <is>
          <t>REQ-10</t>
        </is>
      </c>
      <c r="B11" s="21" t="inlineStr">
        <is>
          <t>Versionsverlauf</t>
        </is>
      </c>
      <c r="C11" s="21" t="inlineStr">
        <is>
          <t>Erledigt – offene Punkte</t>
        </is>
      </c>
      <c r="D11" s="21" t="inlineStr">
        <is>
          <t>1.15.0</t>
        </is>
      </c>
      <c r="E11" s="21" t="inlineStr">
        <is>
          <t>Review 2.0.0</t>
        </is>
      </c>
      <c r="F11" s="21" t="inlineStr">
        <is>
          <t>Zeitleiste in der Projektkarte: Versionen nach Art der Änderung eingefärbt, Erkenntnisstufen als Bänder, Analysen ihrer Stufe zugeordnet.</t>
        </is>
      </c>
    </row>
    <row r="12" ht="23.85" customHeight="1" s="11">
      <c r="A12" s="21" t="inlineStr">
        <is>
          <t>REQ-11</t>
        </is>
      </c>
      <c r="B12" s="21" t="inlineStr">
        <is>
          <t>Ein einziger Chat</t>
        </is>
      </c>
      <c r="C12" s="21" t="inlineStr">
        <is>
          <t>Abweichung</t>
        </is>
      </c>
      <c r="D12" s="21" t="inlineStr">
        <is>
          <t>1.14.0</t>
        </is>
      </c>
      <c r="E12" s="21" t="inlineStr">
        <is>
          <t>Review 2.0.0</t>
        </is>
      </c>
      <c r="F12" s="21" t="inlineStr">
        <is>
          <t>Chats nicht zusammengelegt; Erklärung über jedem Chat und ALITA („RAG vs. Graph?“, Tour) erklären, welcher wofür. Zusammenlegen offen, falls gewünscht.</t>
        </is>
      </c>
    </row>
    <row r="13" ht="23.85" customHeight="1" s="11">
      <c r="A13" s="21" t="inlineStr">
        <is>
          <t>REQ-12</t>
        </is>
      </c>
      <c r="B13" s="21" t="inlineStr">
        <is>
          <t>Kontextabhängiger Chat-Umfang</t>
        </is>
      </c>
      <c r="C13" s="21" t="inlineStr">
        <is>
          <t>Erledigt</t>
        </is>
      </c>
      <c r="D13" s="21" t="inlineStr">
        <is>
          <t>1.14.0</t>
        </is>
      </c>
      <c r="E13" s="21" t="inlineStr">
        <is>
          <t>Review 2.0.0</t>
        </is>
      </c>
      <c r="F13" s="21" t="inlineStr">
        <is>
          <t>Nichts gewählt → ganze Karte; Projekt → nur dieses Projekt; Cluster → nur diese Cluster; Anzeige über der Eingabe.</t>
        </is>
      </c>
    </row>
    <row r="14" ht="15" customHeight="1" s="11">
      <c r="A14" s="21" t="inlineStr">
        <is>
          <t>REQ-13</t>
        </is>
      </c>
      <c r="B14" s="21" t="inlineStr">
        <is>
          <t>Antworten links, Eingabe rechts</t>
        </is>
      </c>
      <c r="C14" s="21" t="inlineStr">
        <is>
          <t>Erledigt</t>
        </is>
      </c>
      <c r="D14" s="21" t="inlineStr">
        <is>
          <t>1.8.0 · 1.9.0 · 1.16.1</t>
        </is>
      </c>
      <c r="E14" s="21" t="inlineStr">
        <is>
          <t>Review 2.0.0</t>
        </is>
      </c>
      <c r="F14" s="21" t="inlineStr">
        <is>
          <t>Antworten links; Fragen, Eingabe und Einstellungen rechts.</t>
        </is>
      </c>
    </row>
    <row r="15" ht="15" customHeight="1" s="11">
      <c r="A15" s="21" t="inlineStr">
        <is>
          <t>REQ-14</t>
        </is>
      </c>
      <c r="B15" s="21" t="inlineStr">
        <is>
          <t>Ausblendbare Parameter</t>
        </is>
      </c>
      <c r="C15" s="21" t="inlineStr">
        <is>
          <t>Erledigt</t>
        </is>
      </c>
      <c r="D15" s="21" t="inlineStr">
        <is>
          <t>1.8.0 · 1.13.0</t>
        </is>
      </c>
      <c r="E15" s="21" t="inlineStr">
        <is>
          <t>Review 2.0.0</t>
        </is>
      </c>
      <c r="F15" s="21" t="inlineStr">
        <is>
          <t>Parameter und System-Prompt hinter einer eingeklappten Zeile „Advanced settings“ je Chat.</t>
        </is>
      </c>
    </row>
    <row r="16" ht="23.85" customHeight="1" s="11">
      <c r="A16" s="21" t="inlineStr">
        <is>
          <t>REQ-15</t>
        </is>
      </c>
      <c r="B16" s="21" t="inlineStr">
        <is>
          <t>Fragen zum Erkenntnisfortschritt</t>
        </is>
      </c>
      <c r="C16" s="21" t="inlineStr">
        <is>
          <t>Erledigt</t>
        </is>
      </c>
      <c r="D16" s="21" t="inlineStr">
        <is>
          <t>1.15.0</t>
        </is>
      </c>
      <c r="E16" s="21" t="inlineStr">
        <is>
          <t>Review 2.0.0</t>
        </is>
      </c>
      <c r="F16" s="21" t="inlineStr">
        <is>
          <t>Beide Chats erkennen Fortschrittsfragen und „wie wurden die Analysen gemacht“ und antworten aus den Erkenntnisstufen.</t>
        </is>
      </c>
    </row>
    <row r="17" ht="23.85" customHeight="1" s="11">
      <c r="A17" s="21" t="inlineStr">
        <is>
          <t>REQ-16</t>
        </is>
      </c>
      <c r="B17" s="21" t="inlineStr">
        <is>
          <t>Tabelle der Erkenntnisstufen</t>
        </is>
      </c>
      <c r="C17" s="21" t="inlineStr">
        <is>
          <t>Erledigt</t>
        </is>
      </c>
      <c r="D17" s="21" t="inlineStr">
        <is>
          <t>1.15.0</t>
        </is>
      </c>
      <c r="E17" s="21" t="inlineStr">
        <is>
          <t>Review 2.0.0</t>
        </is>
      </c>
      <c r="F17" s="21" t="inlineStr">
        <is>
          <t>Stufentabelle (Stufe · Erkenntnisstand · Dateien · Analysen) unter der Antwort und in der Projektkarte; 3, 5 oder 10 Stufen.</t>
        </is>
      </c>
    </row>
    <row r="18" ht="23.85" customHeight="1" s="11">
      <c r="A18" s="21" t="inlineStr">
        <is>
          <t>REQ-17</t>
        </is>
      </c>
      <c r="B18" s="21" t="inlineStr">
        <is>
          <t>Inhaltliche vs. formale Änderungen</t>
        </is>
      </c>
      <c r="C18" s="21" t="inlineStr">
        <is>
          <t>Erledigt – offene Punkte</t>
        </is>
      </c>
      <c r="D18" s="21" t="inlineStr">
        <is>
          <t>1.15.0</t>
        </is>
      </c>
      <c r="E18" s="21" t="inlineStr">
        <is>
          <t>Review 2.0.0</t>
        </is>
      </c>
      <c r="F18" s="21" t="inlineStr">
        <is>
          <t>Jede Version als inhaltlich, Umformulierung, Formatierung oder Neueinreichung eingestuft, z. B. „71 von 75 Versionen ohne grundlegend neue Erkenntnis“.</t>
        </is>
      </c>
    </row>
    <row r="19" ht="15" customHeight="1" s="11">
      <c r="A19" s="21" t="inlineStr">
        <is>
          <t>REQ-18</t>
        </is>
      </c>
      <c r="B19" s="21" t="inlineStr">
        <is>
          <t>Stufen verlinken auf Quelldateien</t>
        </is>
      </c>
      <c r="C19" s="21" t="inlineStr">
        <is>
          <t>Erledigt</t>
        </is>
      </c>
      <c r="D19" s="21" t="inlineStr">
        <is>
          <t>1.15.0</t>
        </is>
      </c>
      <c r="E19" s="21" t="inlineStr">
        <is>
          <t>Review 2.0.0</t>
        </is>
      </c>
      <c r="F19" s="21" t="inlineStr">
        <is>
          <t>Jede Stufe zeigt ihren Bereich („Files 1–7“); jede Datei öffnet das Dokument.</t>
        </is>
      </c>
    </row>
    <row r="20" ht="23.85" customHeight="1" s="11">
      <c r="A20" s="21" t="inlineStr">
        <is>
          <t>REQ-19</t>
        </is>
      </c>
      <c r="B20" s="21" t="inlineStr">
        <is>
          <t>Richtige Zuordnung und Datenauswahl</t>
        </is>
      </c>
      <c r="C20" s="21" t="inlineStr">
        <is>
          <t>Erledigt – Teamdaten fehlen</t>
        </is>
      </c>
      <c r="D20" s="21" t="inlineStr">
        <is>
          <t>1.14.0</t>
        </is>
      </c>
      <c r="E20" s="21" t="inlineStr">
        <is>
          <t>Review 2.0.0</t>
        </is>
      </c>
      <c r="F20" s="21" t="inlineStr">
        <is>
          <t>Kuratierte Projektteams statt Datei-Metadaten; Störnamen entfernt; „restrict to a person“ in beiden Chats. Team Sustainability noch einzutragen.</t>
        </is>
      </c>
    </row>
    <row r="21" ht="23.85" customHeight="1" s="11">
      <c r="A21" s="21" t="inlineStr">
        <is>
          <t>REQ-20</t>
        </is>
      </c>
      <c r="B21" s="21" t="inlineStr">
        <is>
          <t>Externe Prüfung (External challenge)</t>
        </is>
      </c>
      <c r="C21" s="21" t="inlineStr">
        <is>
          <t>Platzhalter</t>
        </is>
      </c>
      <c r="D21" s="21" t="inlineStr">
        <is>
          <t>1.11.0 · 2.1.0</t>
        </is>
      </c>
      <c r="E21" s="21" t="inlineStr">
        <is>
          <t>Review 2.0.0</t>
        </is>
      </c>
      <c r="F21" s="21" t="inlineStr">
        <is>
          <t>Konzept („under construction“) für den Antrag; seit 2.1.0 über den Button „Window to the outside“ als Pop-up; Umsetzung später.</t>
        </is>
      </c>
    </row>
    <row r="22" ht="23.85" customHeight="1" s="11">
      <c r="A22" s="21" t="inlineStr">
        <is>
          <t>REQ-21</t>
        </is>
      </c>
      <c r="B22" s="21" t="inlineStr">
        <is>
          <t>Weniger Informationsdichte</t>
        </is>
      </c>
      <c r="C22" s="21" t="inlineStr">
        <is>
          <t>Teilweise – niedrige Priorität</t>
        </is>
      </c>
      <c r="D22" s="21" t="inlineStr">
        <is>
          <t>1.10.0 · 1.12.0 · 1.13.0</t>
        </is>
      </c>
      <c r="E22" s="21" t="inlineStr">
        <is>
          <t>Review 2.0.0</t>
        </is>
      </c>
      <c r="F22" s="21" t="inlineStr">
        <is>
          <t>Kurze Cluster-Namen, doppelte Detailansicht entfernt, Beschreibungen nur für gewählte Cluster, Einstellungen eingeklappt; Gesamtüberarbeitung später.</t>
        </is>
      </c>
    </row>
    <row r="23" ht="15" customHeight="1" s="11">
      <c r="A23" s="21" t="inlineStr">
        <is>
          <t>REQ-22</t>
        </is>
      </c>
      <c r="B23" s="21" t="inlineStr">
        <is>
          <t>Volle Bildschirmbreite</t>
        </is>
      </c>
      <c r="C23" s="21" t="inlineStr">
        <is>
          <t>Erledigt</t>
        </is>
      </c>
      <c r="D23" s="21" t="inlineStr">
        <is>
          <t>2.1.0</t>
        </is>
      </c>
      <c r="E23" s="21" t="inlineStr">
        <is>
          <t>Sitzung 2026-10-17</t>
        </is>
      </c>
      <c r="F23" s="21" t="inlineStr">
        <is>
          <t>max-width:1600px der Seiten-Hülle (.app in css/base.css) entfernt. Nur Frontend – Browser-Reload genügt.</t>
        </is>
      </c>
    </row>
    <row r="24" ht="23.85" customHeight="1" s="11">
      <c r="A24" s="21" t="inlineStr">
        <is>
          <t>REQ-23</t>
        </is>
      </c>
      <c r="B24" s="21" t="inlineStr">
        <is>
          <t>B-Erklärung unter dem Datenbank-Balken</t>
        </is>
      </c>
      <c r="C24" s="21" t="inlineStr">
        <is>
          <t>Erledigt</t>
        </is>
      </c>
      <c r="D24" s="21" t="inlineStr">
        <is>
          <t>2.1.0</t>
        </is>
      </c>
      <c r="E24" s="21" t="inlineStr">
        <is>
          <t>Sitzung 2026-10-17</t>
        </is>
      </c>
      <c r="F24" s="21" t="inlineStr">
        <is>
          <t>Element aus #bTileSlot an den Anfang von #page-graph verschoben (index.html), Abstand in css/tiles.css. Die Kartenhöhe passt sich automatisch an (fitBPage).</t>
        </is>
      </c>
    </row>
    <row r="25" ht="35.05" customHeight="1" s="11">
      <c r="A25" s="21" t="inlineStr">
        <is>
          <t>REQ-24</t>
        </is>
      </c>
      <c r="B25" s="21" t="inlineStr">
        <is>
          <t>Window to the outside nur als Button</t>
        </is>
      </c>
      <c r="C25" s="21" t="inlineStr">
        <is>
          <t>Erledigt</t>
        </is>
      </c>
      <c r="D25" s="21" t="inlineStr">
        <is>
          <t>2.1.0</t>
        </is>
      </c>
      <c r="E25" s="21" t="inlineStr">
        <is>
          <t>Sitzung 2026-10-17</t>
        </is>
      </c>
      <c r="F25" s="21" t="inlineStr">
        <is>
          <t>Raster auf "map cluster" / "chat cluster" umgestellt (css/clusters.css); Button #bOutsideBtn + Pop-up mit Abdunklung (index.html, css/tiles.css, js/clusters.js); ALITA-Tour zeigt auf den Button. Ändert die Aufteilung aus REQ-01.</t>
        </is>
      </c>
    </row>
    <row r="26" ht="23.85" customHeight="1" s="11">
      <c r="A26" s="21" t="inlineStr">
        <is>
          <t>REQ-25</t>
        </is>
      </c>
      <c r="B26" s="21" t="inlineStr">
        <is>
          <t>Button mit Animation, klein, links</t>
        </is>
      </c>
      <c r="C26" s="21" t="inlineStr">
        <is>
          <t>Erledigt</t>
        </is>
      </c>
      <c r="D26" s="21" t="inlineStr">
        <is>
          <t>2.1.0</t>
        </is>
      </c>
      <c r="E26" s="21" t="inlineStr">
        <is>
          <t>Sitzung 2026-10-17</t>
        </is>
      </c>
      <c r="F26" s="21" t="inlineStr">
        <is>
          <t>Animation wird beim Laden aus dem Fenster kopiert (eigene IDs, Ausschnitt auf den Bagger), Button 240×64 px links (css/tiles.css, js/clusters.js). Ergänzt REQ-24.</t>
        </is>
      </c>
    </row>
    <row r="27" ht="35.05" customHeight="1" s="11">
      <c r="A27" s="21" t="inlineStr">
        <is>
          <t>REQ-26</t>
        </is>
      </c>
      <c r="B27" s="21" t="inlineStr">
        <is>
          <t>Wissenskarte füllt die Kachelbreite</t>
        </is>
      </c>
      <c r="C27" s="21" t="inlineStr">
        <is>
          <t>Erledigt</t>
        </is>
      </c>
      <c r="D27" s="21" t="inlineStr">
        <is>
          <t>2.1.0</t>
        </is>
      </c>
      <c r="E27" s="21" t="inlineStr">
        <is>
          <t>Sitzung 2026-10-17</t>
        </is>
      </c>
      <c r="F27" s="21" t="inlineStr">
        <is>
          <t>mountGraph3D (js/clusters.js): Periodenabstand, Projektbreite und Cluster-Streuung aus Kachelbreite/Höhe berechnet; Neu-Layout bei Breitenänderung. Geprüft an der laufenden Instanz (1173 px und 1823 px breite Kachel).</t>
        </is>
      </c>
    </row>
    <row r="28" ht="23.85" customHeight="1" s="11">
      <c r="A28" s="21" t="inlineStr">
        <is>
          <t>REQ-27</t>
        </is>
      </c>
      <c r="B28" s="21" t="inlineStr">
        <is>
          <t>Chat als Streifen über die volle Breite</t>
        </is>
      </c>
      <c r="C28" s="21" t="inlineStr">
        <is>
          <t>Ersetzt durch REQ-28</t>
        </is>
      </c>
      <c r="D28" s="21" t="inlineStr">
        <is>
          <t>2.1.0</t>
        </is>
      </c>
      <c r="E28" s="21" t="inlineStr">
        <is>
          <t>Sitzung 2026-10-17</t>
        </is>
      </c>
      <c r="F28" s="21" t="inlineStr">
        <is>
          <t>Raster auf "map cluster" / "chat chat", Zeilen 1.7fr / 1fr (css/clusters.css). Ersetzt die Aufteilung „Projects &amp; clusters über die ganze rechte Seite“ aus REQ-24. → Am selben Tag durch REQ-28 ersetzt.</t>
        </is>
      </c>
    </row>
    <row r="29" ht="23.85" customHeight="1" s="11">
      <c r="A29" s="21" t="inlineStr">
        <is>
          <t>REQ-28</t>
        </is>
      </c>
      <c r="B29" s="21" t="inlineStr">
        <is>
          <t>Karte links; rechts Projects &amp; clusters ⅔, Chat ⅓</t>
        </is>
      </c>
      <c r="C29" s="21" t="inlineStr">
        <is>
          <t>Erledigt</t>
        </is>
      </c>
      <c r="D29" s="21" t="inlineStr">
        <is>
          <t>2.1.0</t>
        </is>
      </c>
      <c r="E29" s="21" t="inlineStr">
        <is>
          <t>Sitzung 2026-10-17</t>
        </is>
      </c>
      <c r="F29" s="21" t="inlineStr">
        <is>
          <t>Raster "map cluster" / "map chat", Zeilen 2fr / 1fr (css/clusters.css); Höhenbegrenzung der Karte von 720 px auf 1600 px angehoben (js/clusters.js). Geprüft an der laufenden Instanz bei 2400×1300.</t>
        </is>
      </c>
    </row>
    <row r="30" ht="35.05" customHeight="1" s="11">
      <c r="A30" s="21" t="inlineStr">
        <is>
          <t>REQ-29</t>
        </is>
      </c>
      <c r="B30" s="21" t="inlineStr">
        <is>
          <t>Wissenskarte füllt auch die Kachelhöhe</t>
        </is>
      </c>
      <c r="C30" s="21" t="inlineStr">
        <is>
          <t>Erledigt</t>
        </is>
      </c>
      <c r="D30" s="21" t="inlineStr">
        <is>
          <t>2.1.0</t>
        </is>
      </c>
      <c r="E30" s="21" t="inlineStr">
        <is>
          <t>Sitzung 2026-10-17</t>
        </is>
      </c>
      <c r="F30" s="21" t="inlineStr">
        <is>
          <t>Vertikale Streckung KY aus dem Seitenverhältnis, Dokumenten-Streifen nach Zeilenzahl, automatisches Einpassen der Kamera (js/clusters.js). Geprüft an der laufenden Instanz: 1823×1294 → Elemente x 118–1738, y 161–1269.</t>
        </is>
      </c>
    </row>
    <row r="31" ht="23.85" customHeight="1" s="11">
      <c r="A31" s="21" t="inlineStr">
        <is>
          <t>REQ-30</t>
        </is>
      </c>
      <c r="B31" s="21" t="inlineStr">
        <is>
          <t>Refactor</t>
        </is>
      </c>
      <c r="C31" s="21" t="inlineStr">
        <is>
          <t>Erledigt</t>
        </is>
      </c>
      <c r="D31" s="21" t="inlineStr">
        <is>
          <t>2.1.0</t>
        </is>
      </c>
      <c r="E31" s="21" t="inlineStr">
        <is>
          <t>Sitzung 2026-10-17</t>
        </is>
      </c>
      <c r="F31" s="21" t="inlineStr">
        <is>
          <t>js/clusters.js: v3BLayout(), v3FitCam(), onBResize(); neu js/outside.js (in index.html eingebunden, vom Artefakt-Build automatisch übernommen). Im Browser an der laufenden Instanz geprüft.</t>
        </is>
      </c>
    </row>
    <row r="32" ht="46.25" customHeight="1" s="11">
      <c r="A32" s="21" t="inlineStr">
        <is>
          <t>REQ-31</t>
        </is>
      </c>
      <c r="B32" s="21" t="inlineStr">
        <is>
          <t>3D-Zeitansicht: Klick wählt den Cluster</t>
        </is>
      </c>
      <c r="C32" s="21" t="inlineStr">
        <is>
          <t>Erledigt</t>
        </is>
      </c>
      <c r="D32" s="21" t="inlineStr">
        <is>
          <t>2.1.0</t>
        </is>
      </c>
      <c r="E32" s="21" t="inlineStr">
        <is>
          <t>Dustin (Feedback)</t>
        </is>
      </c>
      <c r="F32" s="21" t="inlineStr">
        <is>
          <t>Connected-cluster-Buttons schalten die Beschreibung um und halten sie fest (cpWireConn); Klick nimmt den Cluster unter dem Mauszeiger (S3.clusterAt) statt des zuletzt gehoverten; Ziehen wird über S3.lastMoved erkannt. Dateien: js/space3d.js, js/cluster-profile.js. Auf alita.prodigi-marburg.de muss das Frontend neu ausgeliefert werden.</t>
        </is>
      </c>
    </row>
    <row r="33" ht="46.25" customHeight="1" s="11">
      <c r="A33" s="21" t="inlineStr">
        <is>
          <t>REQ-32</t>
        </is>
      </c>
      <c r="B33" s="21" t="inlineStr">
        <is>
          <t>3D-Zeitansicht: Zeit-Zoom und genaue Daten</t>
        </is>
      </c>
      <c r="C33" s="21" t="inlineStr">
        <is>
          <t>Erledigt</t>
        </is>
      </c>
      <c r="D33" s="21" t="inlineStr">
        <is>
          <t>2.1.0</t>
        </is>
      </c>
      <c r="E33" s="21" t="inlineStr">
        <is>
          <t>Dustin (Feedback)</t>
        </is>
      </c>
      <c r="F33" s="21" t="inlineStr">
        <is>
          <t>js/space3d.js: Dezimaljahr je Dokument (Feld tm, aus d/ds), Skala S3.zs/S3.z0 mit s3Scale()/s3Ticks(), Auswahl #s3Unit (index.html, css/space3d.css); Projektdateien als eigene Punkte (◆) statt Projekt-Balken. Hinweis: Viele Daten stammen aus dem Dateidatum (file_mtime, z. B. Kopierdatum) – im Tooltip als „uncertain“ markiert. Geprüft an der lokalen Instanz.</t>
        </is>
      </c>
    </row>
    <row r="34" ht="23.85" customHeight="1" s="11">
      <c r="A34" s="21" t="inlineStr">
        <is>
          <t>REQ-33</t>
        </is>
      </c>
      <c r="B34" s="21" t="inlineStr">
        <is>
          <t>Wissenskarte vergrößern</t>
        </is>
      </c>
      <c r="C34" s="21" t="inlineStr">
        <is>
          <t>Erledigt</t>
        </is>
      </c>
      <c r="D34" s="21" t="inlineStr">
        <is>
          <t>2.1.0</t>
        </is>
      </c>
      <c r="E34" s="21" t="inlineStr">
        <is>
          <t>Dustin (Feedback)</t>
        </is>
      </c>
      <c r="F34" s="21" t="inlineStr">
        <is>
          <t>Button #cgMax + Abdunklung #cgMaxScrim (index.html), Klasse .maxed (css/clusters.css), cgMax() in js/clusters.js. Geprüft an der lokalen Instanz: Zeichenfläche 2365×1191 px.</t>
        </is>
      </c>
    </row>
    <row r="35" ht="35.05" customHeight="1" s="11">
      <c r="A35" s="21" t="inlineStr">
        <is>
          <t>REQ-34</t>
        </is>
      </c>
      <c r="B35" s="21" t="inlineStr">
        <is>
          <t>Verschieben darf den Zeitstrahl nicht brechen</t>
        </is>
      </c>
      <c r="C35" s="21" t="inlineStr">
        <is>
          <t>Erledigt</t>
        </is>
      </c>
      <c r="D35" s="21" t="inlineStr">
        <is>
          <t>2.1.0</t>
        </is>
      </c>
      <c r="E35" s="21" t="inlineStr">
        <is>
          <t>Dustin (Feedback)</t>
        </is>
      </c>
      <c r="F35" s="21" t="inlineStr">
        <is>
          <t>mountGraph3D (js/clusters.js): keep() begrenzt x auf die Periodenspalte (±GAPX/2) und y auf das Cluster-Band – beim Ziehen und in der Kräfte-Simulation. Geprüft: C8 (before 2025) nach 40 Zügen nach rechts weiterhin in seiner Spalte.</t>
        </is>
      </c>
    </row>
    <row r="36" ht="35.05" customHeight="1" s="11">
      <c r="A36" s="22" t="inlineStr">
        <is>
          <t>REQ-35</t>
        </is>
      </c>
      <c r="B36" s="22" t="inlineStr">
        <is>
          <t>BIBO an den Research Papers und Zitationsnetz zwischen den Papers</t>
        </is>
      </c>
      <c r="C36" s="22" t="inlineStr">
        <is>
          <t>Erledigt</t>
        </is>
      </c>
      <c r="D36" s="22" t="inlineStr">
        <is>
          <t>2.2.0</t>
        </is>
      </c>
      <c r="E36" s="22" t="inlineStr">
        <is>
          <t>Sitzung 29.10.2026</t>
        </is>
      </c>
      <c r="F36" s="22" t="inlineStr">
        <is>
          <t>app/citations.py: Literaturverzeichnisse (deo:BibliographicReference, über Seitenkopfzeilen hinweg) mit den Research Papers der Sammlung abgeglichen – DOI oder Titel, bestätigt durch Erstautor:in und Jahr; ohne LLM, ohne neue Embeddings; nach jeder Ingestion automatisch. Payload cites/cited_by; Graph (:Document)-[:CITES]-&gt;(:Document) mit bibo:cites, bibo_type, author_list, AUTHORED.position; BIBO-Import per n10s. Anzeige „⇄ Citations“ in der Wissenskarte (js/citations.js), „Cites / Cited by“ in den Dokumentdetails, Kontext im Graph Chat. API GET /api/citations, POST /api/citations/rebuild; CLI ingest citations. Geprüft an 21 Papers (Aster, Jasmine, Peony): 7 von 7 Zitaten gefunden, kein Fehltreffer.</t>
        </is>
      </c>
    </row>
    <row r="37" ht="35.05" customHeight="1" s="11">
      <c r="A37" s="22" t="inlineStr">
        <is>
          <t>REQ-36</t>
        </is>
      </c>
      <c r="B37" s="22" t="inlineStr">
        <is>
          <t>Ontologie-Änderungen ohne Neu-Embedding übernehmen</t>
        </is>
      </c>
      <c r="C37" s="22" t="inlineStr">
        <is>
          <t>Offen</t>
        </is>
      </c>
      <c r="D37" s="22" t="inlineStr">
        <is>
          <t>2.2.0 (teilweise)</t>
        </is>
      </c>
      <c r="E37" s="22" t="inlineStr">
        <is>
          <t>Sitzung 29.10.2026</t>
        </is>
      </c>
      <c r="F37" s="22" t="inlineStr">
        <is>
          <t>Geklärt: Die Vektoren hängen nicht an DEO/Ontologie (eingebettet wird nur Chunk-Text plus Kopf mit Typ, Projekt, Datei, Rolle). Graph-Modell-Änderungen: POST /api/graph/setup + /api/graph/rebuild genügen. Umgesetzt nur für Literaturverzeichnisse (citations.rebuild setzt deo per set_payload). Offen: allgemeiner Befehl „relabel“ für geänderte DEO-Regeln ohne --force-Neueinlesen.</t>
        </is>
      </c>
    </row>
  </sheetData>
  <autoFilter ref="A1:F35"/>
  <conditionalFormatting sqref="C2:C35">
    <cfRule type="expression" rank="0" priority="2" equalAverage="0" aboveAverage="0" dxfId="6" text="" percent="0" bottom="0">
      <formula>LEFT($C2,8)="Erledigt"</formula>
    </cfRule>
    <cfRule type="expression" rank="0" priority="3" equalAverage="0" aboveAverage="0" dxfId="7" text="" percent="0" bottom="0">
      <formula>OR(LEFT($C2,10)="Abweichung",LEFT($C2,11)="Platzhalter",LEFT($C2,9)="Teilweise")</formula>
    </cfRule>
    <cfRule type="expression" rank="0" priority="4" equalAverage="0" aboveAverage="0" dxfId="8" text="" percent="0" bottom="0">
      <formula>LEFT($C2,7)="Ersetzt"</formula>
    </cfRule>
  </conditionalFormatting>
  <dataValidations count="1">
    <dataValidation sqref="C2:C200" showDropDown="0" showInputMessage="0" showErrorMessage="0" allowBlank="1" type="list" errorStyle="stop" operator="between">
      <formula1>"Erledigt,Erledigt (erklärt),Erledigt (Layout geändert),Erledigt – offene Punkte,Erledigt – Teamdaten fehlen,Abweichung,Platzhalter,Teilweise – niedrige Priorität,Ersetzt durch REQ-28,Offen,In Arbeit"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12" customWidth="1" style="10" min="2" max="2"/>
    <col width="9" customWidth="1" style="10" min="3" max="3"/>
    <col width="45" customWidth="1" style="10" min="4" max="4"/>
    <col width="55" customWidth="1" style="10" min="5" max="6"/>
    <col width="24" customWidth="1" style="10" min="7" max="7"/>
    <col width="10" customWidth="1" style="10" min="8" max="8"/>
    <col width="12" customWidth="1" style="10" min="9" max="9"/>
    <col width="60" customWidth="1" style="10" min="10" max="10"/>
  </cols>
  <sheetData>
    <row r="1" ht="30" customHeight="1" s="11">
      <c r="A1" s="20" t="inlineStr">
        <is>
          <t>ID</t>
        </is>
      </c>
      <c r="B1" s="20" t="inlineStr">
        <is>
          <t>Datum</t>
        </is>
      </c>
      <c r="C1" s="20" t="inlineStr">
        <is>
          <t>Version</t>
        </is>
      </c>
      <c r="D1" s="20" t="inlineStr">
        <is>
          <t>Ursprüngliche Anfrage (wörtlich)</t>
        </is>
      </c>
      <c r="E1" s="20" t="inlineStr">
        <is>
          <t>Als Requirement formuliert</t>
        </is>
      </c>
      <c r="F1" s="20" t="inlineStr">
        <is>
          <t>Akzeptanzkriterium</t>
        </is>
      </c>
      <c r="G1" s="20" t="inlineStr">
        <is>
          <t>Bereich</t>
        </is>
      </c>
      <c r="H1" s="20" t="inlineStr">
        <is>
          <t>Priorität</t>
        </is>
      </c>
      <c r="I1" s="20" t="inlineStr">
        <is>
          <t>Status</t>
        </is>
      </c>
      <c r="J1" s="20" t="inlineStr">
        <is>
          <t>Umsetzung / Bemerkung</t>
        </is>
      </c>
    </row>
    <row r="2" ht="35.05" customHeight="1" s="11">
      <c r="A2" s="21" t="inlineStr">
        <is>
          <t>REQ-22</t>
        </is>
      </c>
      <c r="B2" s="21" t="inlineStr">
        <is>
          <t>2026-10-17</t>
        </is>
      </c>
      <c r="C2" s="21" t="inlineStr">
        <is>
          <t>2.1.0</t>
        </is>
      </c>
      <c r="D2" s="21" t="inlineStr">
        <is>
          <t>Ich möchte nun dass das Webinterface von ALITA die volle Bildschirmbreite nutzt.</t>
        </is>
      </c>
      <c r="E2" s="21" t="inlineStr">
        <is>
          <t>Das Webinterface MUSS die gesamte verfügbare Breite des Browserfensters nutzen; es DARF keine feste Maximalbreite mit leeren Seitenrändern geben.</t>
        </is>
      </c>
      <c r="F2" s="21" t="inlineStr">
        <is>
          <t>Bei Fensterbreiten über 1600 px (z. B. 2560 px) reichen Kopfzeile, Datenbank-Balken und alle Seiten bis an den Fensterrand (abzüglich des normalen Innenabstands von 16 px).</t>
        </is>
      </c>
      <c r="G2" s="21" t="inlineStr">
        <is>
          <t>Frontend · Layout (alle Seiten)</t>
        </is>
      </c>
      <c r="H2" s="21" t="inlineStr">
        <is>
          <t>Mittel</t>
        </is>
      </c>
      <c r="I2" s="21" t="inlineStr">
        <is>
          <t>Erledigt</t>
        </is>
      </c>
      <c r="J2" s="21" t="inlineStr">
        <is>
          <t>max-width:1600px der Seiten-Hülle (.app in css/base.css) entfernt. Nur Frontend – Browser-Reload genügt.</t>
        </is>
      </c>
    </row>
    <row r="3" ht="46.25" customHeight="1" s="11">
      <c r="A3" s="21" t="inlineStr">
        <is>
          <t>REQ-23</t>
        </is>
      </c>
      <c r="B3" s="21" t="inlineStr">
        <is>
          <t>2026-10-17</t>
        </is>
      </c>
      <c r="C3" s="21" t="inlineStr">
        <is>
          <t>2.1.0</t>
        </is>
      </c>
      <c r="D3" s="21" t="inlineStr">
        <is>
          <t>Mach diesen Teil direkt unter den Datenbanken-Balken: [Screenshot der Erklärung „B searches the knowledge graph …“]</t>
        </is>
      </c>
      <c r="E3" s="21" t="inlineStr">
        <is>
          <t>Im B Interaction Interface MUSS die Erklärung zum Graph Chat („B searches the knowledge graph …“) direkt unterhalb des Datenbank-Balkens über die volle Breite angezeigt werden, nicht innerhalb des Chat-Bereichs.</t>
        </is>
      </c>
      <c r="F3" s="21" t="inlineStr">
        <is>
          <t>Auf der Seite B Interaction Interface steht die Erklärung als erste Zeile unter dem Datenbank-Balken, oberhalb der vier Bereiche; der Chat-Bereich enthält sie nicht mehr; der ALITA-Klick auf das „i“ funktioniert weiter.</t>
        </is>
      </c>
      <c r="G3" s="21" t="inlineStr">
        <is>
          <t>Frontend · B Interaction Interface</t>
        </is>
      </c>
      <c r="H3" s="21" t="inlineStr">
        <is>
          <t>Mittel</t>
        </is>
      </c>
      <c r="I3" s="21" t="inlineStr">
        <is>
          <t>Erledigt</t>
        </is>
      </c>
      <c r="J3" s="21" t="inlineStr">
        <is>
          <t>Element aus #bTileSlot an den Anfang von #page-graph verschoben (index.html), Abstand in css/tiles.css. Die Kartenhöhe passt sich automatisch an (fitBPage).</t>
        </is>
      </c>
    </row>
    <row r="4" ht="68.65000000000001" customHeight="1" s="11">
      <c r="A4" s="21" t="inlineStr">
        <is>
          <t>REQ-24</t>
        </is>
      </c>
      <c r="B4" s="21" t="inlineStr">
        <is>
          <t>2026-10-17</t>
        </is>
      </c>
      <c r="C4" s="21" t="inlineStr">
        <is>
          <t>2.1.0</t>
        </is>
      </c>
      <c r="D4" s="21" t="inlineStr">
        <is>
          <t>Das Fenster unten soll nur als Button verfügbar sein. Mach das vielleicht unter Databases neben dem „B searches the knowledge graph“ hin, stattdessen dann links unten Chatfenster und ganze rechte Seite Projects and Clusters.</t>
        </is>
      </c>
      <c r="E4" s="21" t="inlineStr">
        <is>
          <t>Im B Interaction Interface MUSS das „Window to the outside“ ausschließlich über einen Button erreichbar sein, der neben der Erklärung „B searches the knowledge graph“ unter dem Datenbank-Balken sitzt. Das Layout MUSS lauten: Wissenskarte links oben, Graph Chat links unten, „Projects &amp; clusters“ über die gesamte rechte Seite.</t>
        </is>
      </c>
      <c r="F4" s="21" t="inlineStr">
        <is>
          <t>Kein festes „Window to the outside“-Feld mehr im Raster; Klick auf den Button öffnet es als Fenster, ✕/Esc/Klick daneben schließt es. Rechte Spalte = Projects &amp; clusters über volle Höhe, links Karte oben und Chat unten. Auf schmalen Bildschirmen untereinander: Karte, Projects &amp; clusters, Chat.</t>
        </is>
      </c>
      <c r="G4" s="21" t="inlineStr">
        <is>
          <t>Frontend · B Interaction Interface</t>
        </is>
      </c>
      <c r="H4" s="21" t="inlineStr">
        <is>
          <t>Mittel</t>
        </is>
      </c>
      <c r="I4" s="21" t="inlineStr">
        <is>
          <t>Erledigt</t>
        </is>
      </c>
      <c r="J4" s="21" t="inlineStr">
        <is>
          <t>Raster auf "map cluster" / "chat cluster" umgestellt (css/clusters.css); Button #bOutsideBtn + Pop-up mit Abdunklung (index.html, css/tiles.css, js/clusters.js); ALITA-Tour zeigt auf den Button. Ändert die Aufteilung aus REQ-01.</t>
        </is>
      </c>
    </row>
    <row r="5" ht="46.25" customHeight="1" s="11">
      <c r="A5" s="21" t="inlineStr">
        <is>
          <t>REQ-25</t>
        </is>
      </c>
      <c r="B5" s="21" t="inlineStr">
        <is>
          <t>2026-10-17</t>
        </is>
      </c>
      <c r="C5" s="21" t="inlineStr">
        <is>
          <t>2.1.0</t>
        </is>
      </c>
      <c r="D5" s="21" t="inlineStr">
        <is>
          <t>Lass es als die Animation wie vorher, aber kleiner und links. [Screenshot des Buttons „Window to the outside“]</t>
        </is>
      </c>
      <c r="E5" s="21" t="inlineStr">
        <is>
          <t>Der Button „Window to the outside“ MUSS die animierte Wüsten-Baustelle des bisherigen Fensters als verkleinerte Vorschau zeigen und links neben der Erklärung „B searches the knowledge graph“ stehen.</t>
        </is>
      </c>
      <c r="F5" s="21" t="inlineStr">
        <is>
          <t>Unter dem Datenbank-Balken steht ganz links eine kleine, laufende Animation (Bagger, Schild, Absperrung) mit der Beschriftung „Window to the outside“, rechts daneben die B-Erklärung; Klick öffnet weiterhin das große Fenster.</t>
        </is>
      </c>
      <c r="G5" s="21" t="inlineStr">
        <is>
          <t>Frontend · B Interaction Interface</t>
        </is>
      </c>
      <c r="H5" s="21" t="inlineStr">
        <is>
          <t>Niedrig</t>
        </is>
      </c>
      <c r="I5" s="21" t="inlineStr">
        <is>
          <t>Erledigt</t>
        </is>
      </c>
      <c r="J5" s="21" t="inlineStr">
        <is>
          <t>Animation wird beim Laden aus dem Fenster kopiert (eigene IDs, Ausschnitt auf den Bagger), Button 240×64 px links (css/tiles.css, js/clusters.js). Ergänzt REQ-24.</t>
        </is>
      </c>
    </row>
    <row r="6" ht="46.25" customHeight="1" s="11">
      <c r="A6" s="21" t="inlineStr">
        <is>
          <t>REQ-26</t>
        </is>
      </c>
      <c r="B6" s="21" t="inlineStr">
        <is>
          <t>2026-10-17</t>
        </is>
      </c>
      <c r="C6" s="21" t="inlineStr">
        <is>
          <t>2.1.0</t>
        </is>
      </c>
      <c r="D6" s="21" t="inlineStr">
        <is>
          <t>Stretch this to the whole Kachel. [Screenshot der Wissenskarte, die nur die Mitte der Kachel nutzt]</t>
        </is>
      </c>
      <c r="E6" s="21" t="inlineStr">
        <is>
          <t>Die 3D-Wissenskarte im B Interaction Interface MUSS die gesamte Breite ihrer Kachel nutzen; Perioden, Projekte und Cluster SOLLEN sich horizontal über die verfügbare Breite verteilen.</t>
        </is>
      </c>
      <c r="F6" s="21" t="inlineStr">
        <is>
          <t>Bei breiter Kachel (z. B. 1800 px) reichen Projekt-Ebene, Cluster und Dokumente fast bis an den linken und rechten Rand; bei Änderung der Fensterbreite wird die Karte neu verteilt; nichts wird abgeschnitten.</t>
        </is>
      </c>
      <c r="G6" s="21" t="inlineStr">
        <is>
          <t>Frontend · Wissenskarte (B)</t>
        </is>
      </c>
      <c r="H6" s="21" t="inlineStr">
        <is>
          <t>Mittel</t>
        </is>
      </c>
      <c r="I6" s="21" t="inlineStr">
        <is>
          <t>Erledigt</t>
        </is>
      </c>
      <c r="J6" s="21" t="inlineStr">
        <is>
          <t>mountGraph3D (js/clusters.js): Periodenabstand, Projektbreite und Cluster-Streuung aus Kachelbreite/Höhe berechnet; Neu-Layout bei Breitenänderung. Geprüft an der laufenden Instanz (1173 px und 1823 px breite Kachel).</t>
        </is>
      </c>
    </row>
    <row r="7" ht="46.25" customHeight="1" s="11">
      <c r="A7" s="21" t="inlineStr">
        <is>
          <t>REQ-27</t>
        </is>
      </c>
      <c r="B7" s="21" t="inlineStr">
        <is>
          <t>2026-10-17</t>
        </is>
      </c>
      <c r="C7" s="21" t="inlineStr">
        <is>
          <t>2.1.0</t>
        </is>
      </c>
      <c r="D7" s="21" t="inlineStr">
        <is>
          <t>OK, also eigentlich soll das Chatfenster schmaler und komplett von links nach rechts gehen.</t>
        </is>
      </c>
      <c r="E7" s="21" t="inlineStr">
        <is>
          <t>Der Graph Chat im B Interaction Interface MUSS als Streifen über die gesamte Breite unter Wissenskarte und „Projects &amp; clusters“ liegen und SOLL weniger hoch sein als die obere Reihe.</t>
        </is>
      </c>
      <c r="F7" s="21" t="inlineStr">
        <is>
          <t>Obere Reihe: Wissenskarte links, Projects &amp; clusters rechts; untere Reihe: Chat von linkem bis rechtem Rand, Höhe ca. 1/3 des Rasters; Antworten links, Eingabe rechts bleiben erhalten (REQ-13).</t>
        </is>
      </c>
      <c r="G7" s="21" t="inlineStr">
        <is>
          <t>Frontend · B Interaction Interface</t>
        </is>
      </c>
      <c r="H7" s="21" t="inlineStr">
        <is>
          <t>Mittel</t>
        </is>
      </c>
      <c r="I7" s="21" t="inlineStr">
        <is>
          <t>Ersetzt</t>
        </is>
      </c>
      <c r="J7" s="21" t="inlineStr">
        <is>
          <t>Raster auf "map cluster" / "chat chat", Zeilen 1.7fr / 1fr (css/clusters.css). Ersetzt die Aufteilung „Projects &amp; clusters über die ganze rechte Seite“ aus REQ-24. → Am selben Tag durch REQ-28 ersetzt.</t>
        </is>
      </c>
    </row>
    <row r="8" ht="46.25" customHeight="1" s="11">
      <c r="A8" s="21" t="inlineStr">
        <is>
          <t>REQ-28</t>
        </is>
      </c>
      <c r="B8" s="21" t="inlineStr">
        <is>
          <t>2026-10-17</t>
        </is>
      </c>
      <c r="C8" s="21" t="inlineStr">
        <is>
          <t>2.1.0</t>
        </is>
      </c>
      <c r="D8" s="21" t="inlineStr">
        <is>
          <t>OK nee, links nur die Map und rechts 1/3 Chatfenster und Rest Projects und Clusters.</t>
        </is>
      </c>
      <c r="E8" s="21" t="inlineStr">
        <is>
          <t>Im B Interaction Interface MUSS die Wissenskarte die gesamte linke Hälfte über die volle Höhe einnehmen; rechts MÜSSEN „Projects &amp; clusters“ (oben, ca. 2/3 der Höhe) und der Graph Chat (unten, ca. 1/3 der Höhe) liegen.</t>
        </is>
      </c>
      <c r="F8" s="21" t="inlineStr">
        <is>
          <t>Links nur die Karte, deren Zeichenfläche die Kachel ausfüllt; rechts oben Projects &amp; clusters, rechts unten der Chat mit sichtbarer Eingabe und Senden-Button; Verhältnis rechts ca. 2:1.</t>
        </is>
      </c>
      <c r="G8" s="21" t="inlineStr">
        <is>
          <t>Frontend · B Interaction Interface</t>
        </is>
      </c>
      <c r="H8" s="21" t="inlineStr">
        <is>
          <t>Mittel</t>
        </is>
      </c>
      <c r="I8" s="21" t="inlineStr">
        <is>
          <t>Erledigt</t>
        </is>
      </c>
      <c r="J8" s="21" t="inlineStr">
        <is>
          <t>Raster "map cluster" / "map chat", Zeilen 2fr / 1fr (css/clusters.css); Höhenbegrenzung der Karte von 720 px auf 1600 px angehoben (js/clusters.js). Geprüft an der laufenden Instanz bei 2400×1300.</t>
        </is>
      </c>
    </row>
    <row r="9" ht="57.45" customHeight="1" s="11">
      <c r="A9" s="21" t="inlineStr">
        <is>
          <t>REQ-29</t>
        </is>
      </c>
      <c r="B9" s="21" t="inlineStr">
        <is>
          <t>2026-10-17</t>
        </is>
      </c>
      <c r="C9" s="21" t="inlineStr">
        <is>
          <t>2.1.0</t>
        </is>
      </c>
      <c r="D9" s="21" t="inlineStr">
        <is>
          <t>Natürlich soll dann der Graph auch voll ausfüllen, ne. [Screenshot: Karte nutzt die Höhe der Kachel nicht]</t>
        </is>
      </c>
      <c r="E9" s="21" t="inlineStr">
        <is>
          <t>Die Wissenskarte MUSS ihre Kachel in Breite UND Höhe ausfüllen; die drei Ebenen (Projekte &amp; Paper, semantische Cluster, Dokumente) SOLLEN sich über die verfügbare Höhe verteilen, ohne leere Flächen oben oder unten.</t>
        </is>
      </c>
      <c r="F9" s="21" t="inlineStr">
        <is>
          <t>Bei einer hohen Kachel (z. B. 1820×1290 px) reichen die Elemente fast von oben bis unten und von links bis rechts; der Dokumenten-Streifen ist nur so hoch wie seine Zeilen; nach Größenänderung wird neu eingepasst; eigener Zoom bleibt bis zur nächsten Größenänderung oder „Reset view“.</t>
        </is>
      </c>
      <c r="G9" s="21" t="inlineStr">
        <is>
          <t>Frontend · Wissenskarte (B)</t>
        </is>
      </c>
      <c r="H9" s="21" t="inlineStr">
        <is>
          <t>Mittel</t>
        </is>
      </c>
      <c r="I9" s="21" t="inlineStr">
        <is>
          <t>Erledigt</t>
        </is>
      </c>
      <c r="J9" s="21" t="inlineStr">
        <is>
          <t>Vertikale Streckung KY aus dem Seitenverhältnis, Dokumenten-Streifen nach Zeilenzahl, automatisches Einpassen der Kamera (js/clusters.js). Geprüft an der laufenden Instanz: 1823×1294 → Elemente x 118–1738, y 161–1269.</t>
        </is>
      </c>
    </row>
    <row r="10" ht="46.25" customHeight="1" s="11">
      <c r="A10" s="21" t="inlineStr">
        <is>
          <t>REQ-30</t>
        </is>
      </c>
      <c r="B10" s="21" t="inlineStr">
        <is>
          <t>2026-10-17</t>
        </is>
      </c>
      <c r="C10" s="21" t="inlineStr">
        <is>
          <t>2.1.0</t>
        </is>
      </c>
      <c r="D10" s="21" t="inlineStr">
        <is>
          <t>Refactor.</t>
        </is>
      </c>
      <c r="E10" s="21" t="inlineStr">
        <is>
          <t>Der in dieser Sitzung ergänzte Frontend-Code SOLL ohne Änderung des Verhaltens aufgeräumt werden: Layout-Berechnung und Kamera-Einpassung als eigene, dokumentierte Funktionen, „Window to the outside“ in einer eigenen Datei.</t>
        </is>
      </c>
      <c r="F10" s="21" t="inlineStr">
        <is>
          <t>Gleiches Verhalten wie vorher (Karte füllt die Kachel, Pop-up öffnet/schließt, Mini-Animation sichtbar), keine Konsolenfehler; Code in v3BLayout, v3FitCam, onBResize und js/outside.js.</t>
        </is>
      </c>
      <c r="G10" s="21" t="inlineStr">
        <is>
          <t>Frontend · Code-Qualität</t>
        </is>
      </c>
      <c r="H10" s="21" t="inlineStr">
        <is>
          <t>Niedrig</t>
        </is>
      </c>
      <c r="I10" s="21" t="inlineStr">
        <is>
          <t>Erledigt</t>
        </is>
      </c>
      <c r="J10" s="21" t="inlineStr">
        <is>
          <t>js/clusters.js: v3BLayout(), v3FitCam(), onBResize(); neu js/outside.js (in index.html eingebunden, vom Artefakt-Build automatisch übernommen). Im Browser an der laufenden Instanz geprüft.</t>
        </is>
      </c>
    </row>
    <row r="11" ht="57.45" customHeight="1" s="11">
      <c r="A11" s="21" t="inlineStr">
        <is>
          <t>REQ-31</t>
        </is>
      </c>
      <c r="B11" s="21" t="inlineStr">
        <is>
          <t>2026-10-17</t>
        </is>
      </c>
      <c r="C11" s="21" t="inlineStr">
        <is>
          <t>2.1.0</t>
        </is>
      </c>
      <c r="D11" s="21" t="inlineStr">
        <is>
          <t>Lös das Problem. [Screenshot von Dustin, 15.10.: „Das Hovern zur Auswahl der Cluster funktioniert, das Klicken aber nicht. C6 ist ausgewählt, C7 wird angezeigt“]</t>
        </is>
      </c>
      <c r="E11" s="21" t="inlineStr">
        <is>
          <t>In der 3D-·-Zeit-Ansicht MUSS ein Klick auf einen Cluster – im Raum oder unter „Connected clusters“ in der Beschreibung – genau diesen Cluster auswählen und seine Beschreibung unten festhalten. Das Loslassen nach dem Drehen DARF die Auswahl NICHT verändern.</t>
        </is>
      </c>
      <c r="F11" s="21" t="inlineStr">
        <is>
          <t>Klick auf C6 (im Raum oder als Connected cluster unter C7) → unten steht C6, festgehalten; erneuter Klick oder ✕ gibt frei; Drehen per Ziehen ändert nichts; Hover zeigt weiterhin die Vorschau, solange nichts festgehalten ist.</t>
        </is>
      </c>
      <c r="G11" s="21" t="inlineStr">
        <is>
          <t>Frontend · 3D-·-Zeit-Ansicht</t>
        </is>
      </c>
      <c r="H11" s="21" t="inlineStr">
        <is>
          <t>Hoch</t>
        </is>
      </c>
      <c r="I11" s="21" t="inlineStr">
        <is>
          <t>Erledigt</t>
        </is>
      </c>
      <c r="J11" s="21" t="inlineStr">
        <is>
          <t>Connected-cluster-Buttons schalten die Beschreibung um und halten sie fest (cpWireConn); Klick nimmt den Cluster unter dem Mauszeiger (S3.clusterAt) statt des zuletzt gehoverten; Ziehen wird über S3.lastMoved erkannt. Dateien: js/space3d.js, js/cluster-profile.js. Auf alita.prodigi-marburg.de muss das Frontend neu ausgeliefert werden.</t>
        </is>
      </c>
    </row>
    <row r="12" ht="91" customHeight="1" s="11">
      <c r="A12" s="21" t="inlineStr">
        <is>
          <t>REQ-32</t>
        </is>
      </c>
      <c r="B12" s="21" t="inlineStr">
        <is>
          <t>2026-10-17</t>
        </is>
      </c>
      <c r="C12" s="21" t="inlineStr">
        <is>
          <t>2.1.0</t>
        </is>
      </c>
      <c r="D12" s="21" t="inlineStr">
        <is>
          <t>[Nachricht von Dustin mit Screenshot] Bei der 3D-Ansicht wäre es vielleicht noch hilfreich, wenn die Zeitraumbeschränkung auch mit einem Zoom in dem Zeitraum verbunden ist. Mit anderen Worten: Ich kann aktuell nicht unterscheiden, an welchem Zeitpunkt die jeweiligen Dokumente erstellt wurden. Ich prüfe gleich nochmal, ob alles am gleichen Tag, Woche, Monat gemacht wurde.</t>
        </is>
      </c>
      <c r="E12" s="21" t="inlineStr">
        <is>
          <t>In der 3D-·-Zeit-Ansicht MUSS jedes Dokument an seinem genauen Datum (nicht nur am Jahr) stehen. Eine Einschränkung des Zeitraums MUSS die Zeitachse vergrößern (Jahre → Monate); feinere Skalen (Wochen, Tage) SOLLEN wählbar sein. Der Tooltip MUSS das Datum und seine Herkunft zeigen. Projektdateien DÜRFEN NICHT gemeinsam am Projektbeginn stehen.</t>
        </is>
      </c>
      <c r="F12" s="21" t="inlineStr">
        <is>
          <t>Zeitraum auf ein Jahr → Monatsebenen (Jan … Dez) sichtbar, Dokumente verschiedener Tage stehen an verschiedenen Tiefen; „Scale“ Weeks/Days zeigt Wochen-/Tagesebenen; Tooltip z. B. „📅 07.02.2021 · date: file properties“; Magnolia 2021: 22 Projektdateien an 21 verschiedenen Tiefen (vorher alle in einer Reihe); Klick auf eine Projektdatei öffnet sie.</t>
        </is>
      </c>
      <c r="G12" s="21" t="inlineStr">
        <is>
          <t>Frontend · 3D-·-Zeit-Ansicht</t>
        </is>
      </c>
      <c r="H12" s="21" t="inlineStr">
        <is>
          <t>Hoch</t>
        </is>
      </c>
      <c r="I12" s="21" t="inlineStr">
        <is>
          <t>Erledigt</t>
        </is>
      </c>
      <c r="J12" s="21" t="inlineStr">
        <is>
          <t>js/space3d.js: Dezimaljahr je Dokument (Feld tm, aus d/ds), Skala S3.zs/S3.z0 mit s3Scale()/s3Ticks(), Auswahl #s3Unit (index.html, css/space3d.css); Projektdateien als eigene Punkte (◆) statt Projekt-Balken. Hinweis: Viele Daten stammen aus dem Dateidatum (file_mtime, z. B. Kopierdatum) – im Tooltip als „uncertain“ markiert. Geprüft an der lokalen Instanz.</t>
        </is>
      </c>
    </row>
    <row r="13" ht="46.25" customHeight="1" s="11">
      <c r="A13" s="21" t="inlineStr">
        <is>
          <t>REQ-33</t>
        </is>
      </c>
      <c r="B13" s="21" t="inlineStr">
        <is>
          <t>2026-10-17</t>
        </is>
      </c>
      <c r="C13" s="21" t="inlineStr">
        <is>
          <t>2.1.0</t>
        </is>
      </c>
      <c r="D13" s="21" t="inlineStr">
        <is>
          <t>[Nachricht von Dustin mit Screenshot der Wissenskarte] ne Möglichkeit, das Feld hier zu vergrößern, wäre auch nice</t>
        </is>
      </c>
      <c r="E13" s="21" t="inlineStr">
        <is>
          <t>Die Wissenskarte im B Interaction Interface MUSS sich per Knopf vergrößern lassen (großes Fenster über der Seite) und SOLL dabei in der neuen Größe neu gezeichnet werden; Zurück per Knopf, Esc oder Klick daneben.</t>
        </is>
      </c>
      <c r="F13" s="21" t="inlineStr">
        <is>
          <t>Knopf „⤢ Enlarge“ im Kopf der Karte → Karte füllt fast den ganzen Bildschirm (z. B. 2368×1268 px bei 2400×1300), Inhalt füllt die Fläche; „✕ Close“, Esc oder Klick auf den abgedunkelten Rand → normale Größe.</t>
        </is>
      </c>
      <c r="G13" s="21" t="inlineStr">
        <is>
          <t>Frontend · Wissenskarte (B)</t>
        </is>
      </c>
      <c r="H13" s="21" t="inlineStr">
        <is>
          <t>Mittel</t>
        </is>
      </c>
      <c r="I13" s="21" t="inlineStr">
        <is>
          <t>Erledigt</t>
        </is>
      </c>
      <c r="J13" s="21" t="inlineStr">
        <is>
          <t>Button #cgMax + Abdunklung #cgMaxScrim (index.html), Klasse .maxed (css/clusters.css), cgMax() in js/clusters.js. Geprüft an der lokalen Instanz: Zeichenfläche 2365×1191 px.</t>
        </is>
      </c>
    </row>
    <row r="14" ht="46.25" customHeight="1" s="11">
      <c r="A14" s="21" t="inlineStr">
        <is>
          <t>REQ-34</t>
        </is>
      </c>
      <c r="B14" s="21" t="inlineStr">
        <is>
          <t>2026-10-17</t>
        </is>
      </c>
      <c r="C14" s="21" t="inlineStr">
        <is>
          <t>2.1.0</t>
        </is>
      </c>
      <c r="D14" s="21" t="inlineStr">
        <is>
          <t>[Nachricht von Dustin mit Screenshot] Die Cluster hier liegen auf einem Zeitstrahl, ich kann sie aber verschieben. Verschieben ist cool, aber im Sinne des Zeitstrahls wahrscheinlich schwierig, oder?</t>
        </is>
      </c>
      <c r="E14" s="21" t="inlineStr">
        <is>
          <t>In der Wissenskarte mit Perioden (before 2025 / 2025 / 2026) SOLLEN Cluster weiterhin verschiebbar sein, DÜRFEN aber ihre Periodenspalte NICHT verlassen, damit der Zeitstrahl korrekt bleibt.</t>
        </is>
      </c>
      <c r="F14" s="21" t="inlineStr">
        <is>
          <t>Ein Cluster lässt sich innerhalb seiner Spalte frei ziehen; auch kräftiges Ziehen in die Nachbarspalte endet am Spaltenrand; auf der B-Seite bleibt er zusätzlich im Band „Semantic clusters“; „⟲ Reset view“ setzt wie bisher zurück.</t>
        </is>
      </c>
      <c r="G14" s="21" t="inlineStr">
        <is>
          <t>Frontend · Wissenskarte (3D)</t>
        </is>
      </c>
      <c r="H14" s="21" t="inlineStr">
        <is>
          <t>Mittel</t>
        </is>
      </c>
      <c r="I14" s="21" t="inlineStr">
        <is>
          <t>Erledigt</t>
        </is>
      </c>
      <c r="J14" s="21" t="inlineStr">
        <is>
          <t>mountGraph3D (js/clusters.js): keep() begrenzt x auf die Periodenspalte (±GAPX/2) und y auf das Cluster-Band – beim Ziehen und in der Kräfte-Simulation. Geprüft: C8 (before 2025) nach 40 Zügen nach rechts weiterhin in seiner Spalte.</t>
        </is>
      </c>
    </row>
    <row r="15" s="11">
      <c r="A15" s="22" t="inlineStr">
        <is>
          <t>REQ-35</t>
        </is>
      </c>
      <c r="B15" s="22" t="inlineStr">
        <is>
          <t>2026-10-29</t>
        </is>
      </c>
      <c r="C15" s="22" t="inlineStr">
        <is>
          <t>2.2.0</t>
        </is>
      </c>
      <c r="D15" s="22" t="inlineStr">
        <is>
          <t>was ich halt gerne auch hätte ist dioe bibio ontology an den research papers drann · [Rückfrage Datenquelle:] ja das reicht weil ich will vllt. einfach auch die vernetzung von paper anhand iherer refernezen sehen. das könnte man ja auch noch darstellen oder · mach das bitte und schreibe ein neues release fort. nciht major normal</t>
        </is>
      </c>
      <c r="E15" s="22" t="inlineStr">
        <is>
          <t>Research Papers MÜSSEN im Wissensgraphen mit der Bibliographic Ontology (BIBO) beschrieben werden (Typ, geordnete Autor:innenliste, Zitate). ALITA MUSS aus den Literaturverzeichnissen erkennen, welche Dokumente der Sammlung welche Research Papers der Sammlung zitieren, und dieses Zitationsnetz in der Oberfläche darstellen; dafür DARF NICHT neu eingebettet werden und es SOLL kein Sprachmodell nötig sein. Auslieferung als Minor-Release (nicht Major).</t>
        </is>
      </c>
      <c r="F15" s="22" t="inlineStr">
        <is>
          <t>Knopf „⇄ Citations“ in der Wissenskarte zeigt Papers/Projekte nach Jahr mit Pfeilen „zitiert“; Hover auf einen Pfeil zeigt die Fundstelle im Literaturverzeichnis; Klick öffnet das Dokument; Dokumentdetails zeigen „Cites“/„Cited by“; Graph Chat beantwortet „Welche Papers bauen auf X auf?“; Neo4j: MATCH (:Document)-[:CITES]-&gt;(:Document) liefert die Kanten mit bibo:cites; an den 21 Papers von Aster/Jasmine/Peony werden alle 7 gegenseitigen Zitate gefunden, ohne Fehltreffer; Version 2.2.0.</t>
        </is>
      </c>
      <c r="G15" s="22" t="inlineStr">
        <is>
          <t>Backend · Ontologie/Graph · Frontend · Wissenskarte (B)</t>
        </is>
      </c>
      <c r="H15" s="22" t="inlineStr">
        <is>
          <t>Hoch</t>
        </is>
      </c>
      <c r="I15" s="22" t="inlineStr">
        <is>
          <t>Erledigt</t>
        </is>
      </c>
      <c r="J15" s="22" t="inlineStr">
        <is>
          <t>app/citations.py (neu), graph.py (BIBO, CITES zwischen Dokumenten, BIBO-Import), graphrag.py (Zitationskontext), ingest.py (nach jeder Ingestion, CLI „citations“), main.py (GET /api/citations, POST /api/citations/rebuild); js/citations.js + css/citations.css (neu), documents.js. Literaturverzeichnisse, die durch Seitenkopfzeilen unterbrochen waren, werden jetzt vollständig als BibliographicReference erkannt. Datenquelle: nur der vorhandene Index (kein Crossref). Tests: tests/test_citations.py.</t>
        </is>
      </c>
    </row>
    <row r="16" s="11">
      <c r="A16" s="22" t="inlineStr">
        <is>
          <t>REQ-36</t>
        </is>
      </c>
      <c r="B16" s="22" t="inlineStr">
        <is>
          <t>2026-10-29</t>
        </is>
      </c>
      <c r="C16" s="22" t="inlineStr">
        <is>
          <t>2.2.0</t>
        </is>
      </c>
      <c r="D16" s="22" t="inlineStr">
        <is>
          <t>kann man an der ontology was ändern und das remappen ohne alle daten neu zhu embedden=</t>
        </is>
      </c>
      <c r="E16" s="22" t="inlineStr">
        <is>
          <t>Änderungen an der Ontologie (Graph-Modell, DEO-Regeln, neue Klassen) SOLLEN auf die vorhandenen Daten angewendet werden können, ohne alle Dokumente neu einzubetten; ein Neu-Embedding DARF nur nötig sein, wenn sich Extraktion oder Chunking ändern.</t>
        </is>
      </c>
      <c r="F16" s="22" t="inlineStr">
        <is>
          <t>Nach einer Änderung der DEO-Regeln setzt ein Befehl (z. B. „ingest relabel“) deo/deo_source aller Chunks neu und baut den Graphen neu auf, ohne Embedding-Aufrufe (0 Embedding-Tokens in der Kostenanzeige).</t>
        </is>
      </c>
      <c r="G16" s="22" t="inlineStr">
        <is>
          <t>Backend · Ontologie/Ingestion</t>
        </is>
      </c>
      <c r="H16" s="22" t="inlineStr">
        <is>
          <t>Mittel</t>
        </is>
      </c>
      <c r="I16" s="22" t="inlineStr">
        <is>
          <t>Offen</t>
        </is>
      </c>
      <c r="J16" s="22" t="inlineStr">
        <is>
          <t>Beantwortet am 29.10.2026: Vektoren hängen nicht an DEO (Embedding = Kopf + Chunk-Text). Graph-Modell: /api/graph/setup + /api/graph/rebuild. Mit 2.2.0 nur für Literaturverzeichnisse umgesetzt (citations.rebuild, set_payload). Allgemeiner Relabel-Befehl noch nicht gebaut; Doku 07-operations.md weist darauf hin.</t>
        </is>
      </c>
    </row>
  </sheetData>
  <autoFilter ref="A1:J14"/>
  <dataValidations count="2">
    <dataValidation sqref="I2:I500" showDropDown="0" showInputMessage="0" showErrorMessage="0" allowBlank="1" type="list" errorStyle="stop" operator="between">
      <formula1>"Offen,In Arbeit,Erledigt,Abweichung,Ersetzt,Verworfen"</formula1>
      <formula2>0</formula2>
    </dataValidation>
    <dataValidation sqref="H2:H500" showDropDown="0" showInputMessage="0" showErrorMessage="0" allowBlank="1" type="list" errorStyle="stop" operator="between">
      <formula1>"Hoch,Mittel,Niedrig"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0" min="1" max="1"/>
  </cols>
  <sheetData>
    <row r="1" ht="23.85" customHeight="1" s="11">
      <c r="A1" s="23" t="inlineStr">
        <is>
          <t>Requirements-Log ALITA – seit der Sitzung vom 17.10.2026 wird jede Anfrage als eigene Zeile im Blatt „Requirements-Log“ ergänzt und zusätzlich im Blatt „Requirements“ geführt.</t>
        </is>
      </c>
    </row>
    <row r="2" ht="23.85" customHeight="1" s="11">
      <c r="A2" s="23" t="inlineStr">
        <is>
          <t>„Requirements“: alle Anforderungen mit Status, Release und Umsetzung (REQ-01 – REQ-21 aus dem Review von 2.0.0, ab REQ-22 aus den Sitzungen). Status bitte aus der Auswahlliste wählen – die Übersicht zählt danach.</t>
        </is>
      </c>
    </row>
    <row r="3" ht="15" customHeight="1" s="11">
      <c r="A3" s="23" t="inlineStr">
        <is>
          <t>„Requirements-Log“: die Anfrage im Wortlaut, als Requirement formuliert (MUSS/SOLL/DARF NICHT) und das Akzeptanzkriterium.</t>
        </is>
      </c>
    </row>
    <row r="4" ht="15" customHeight="1" s="11">
      <c r="A4" s="23" t="inlineStr">
        <is>
          <t>Die Versionsangabe 2.0.1 aus der Sitzung wurde beim Release zu 2.1.0 (neue, rückwärtskompatible Funktionen → Minor-Version nach SemVer).</t>
        </is>
      </c>
    </row>
    <row r="5" ht="15" customHeight="1" s="11">
      <c r="A5" s="23" t="inlineStr">
        <is>
          <t>Quelle des Textes für REQ-01 – REQ-21: docs/requirements-status.md (dort auf Englisch); Release Notes: CHANGELOG.md, Abschnitt [2.1.0].</t>
        </is>
      </c>
    </row>
    <row r="6" ht="15" customHeight="1" s="11">
      <c r="A6" s="24" t="inlineStr">
        <is>
          <t>Release 2.2.0 (29.10.2026): REQ-35 (BIBO und Zitationsnetz) erledigt; REQ-36 (Ontologie-Änderungen ohne Neu-Embedding) beantwortet, allgemeiner Relabel-Befehl offen. Release Notes: CHANGELOG.md, Abschnitt [2.2.0].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2026-10-17T16:43:09Z</dcterms:created>
  <dcterms:modified xmlns:dcterms="http://purl.org/dc/terms/" xmlns:xsi="http://www.w3.org/2001/XMLSchema-instance" xsi:type="dcterms:W3CDTF">2026-10-29T19:22:07Z</dcterms:modified>
  <cp:revision>0</cp:revision>
</cp:coreProperties>
</file>