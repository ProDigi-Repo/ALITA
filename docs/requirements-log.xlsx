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Übersicht" sheetId="1" state="visible" r:id="rId1"/>
    <sheet xmlns:r="http://schemas.openxmlformats.org/officeDocument/2006/relationships" name="Requirements" sheetId="2" state="visible" r:id="rId2"/>
    <sheet xmlns:r="http://schemas.openxmlformats.org/officeDocument/2006/relationships" name="Requirements-Log" sheetId="3" state="visible" r:id="rId3"/>
    <sheet xmlns:r="http://schemas.openxmlformats.org/officeDocument/2006/relationships" name="Hinweise" sheetId="4" state="visible" r:id="rId4"/>
  </sheets>
  <definedNames>
    <definedName name="_xlnm._FilterDatabase" localSheetId="1" hidden="1">'Requirements'!$A$1:$F$35</definedName>
    <definedName name="_xlnm._FilterDatabase" localSheetId="2" hidden="1">'Requirements-Log'!$A$1:$J$14</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6"/>
    </font>
    <font>
      <name val="Arial"/>
      <charset val="1"/>
      <family val="0"/>
      <i val="1"/>
      <color rgb="FF555555"/>
      <sz val="10"/>
    </font>
    <font>
      <name val="Arial"/>
      <charset val="1"/>
      <family val="0"/>
      <b val="1"/>
      <color rgb="FFFFFFFF"/>
      <sz val="11"/>
    </font>
    <font>
      <name val="Arial"/>
      <charset val="1"/>
      <family val="0"/>
      <sz val="10"/>
    </font>
    <font>
      <name val="Arial"/>
      <charset val="1"/>
      <family val="0"/>
      <b val="1"/>
      <sz val="10"/>
    </font>
    <font>
      <name val="Arial"/>
      <charset val="1"/>
      <family val="0"/>
      <i val="1"/>
      <color rgb="FF555555"/>
      <sz val="9"/>
    </font>
  </fonts>
  <fills count="3">
    <fill>
      <patternFill/>
    </fill>
    <fill>
      <patternFill patternType="gray125"/>
    </fill>
    <fill>
      <patternFill patternType="solid">
        <fgColor rgb="FF1F2A44"/>
        <bgColor rgb="FF003366"/>
      </patternFill>
    </fill>
  </fills>
  <borders count="2">
    <border>
      <left/>
      <right/>
      <top/>
      <bottom/>
      <diagonal/>
    </border>
    <border>
      <left style="thin">
        <color rgb="FFD0D5DD"/>
      </left>
      <right style="thin">
        <color rgb="FFD0D5DD"/>
      </right>
      <top style="thin">
        <color rgb="FFD0D5DD"/>
      </top>
      <bottom style="thin">
        <color rgb="FFD0D5D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0" borderId="1" applyAlignment="1" pivotButton="0" quotePrefix="0" xfId="0">
      <alignment horizontal="general" vertical="top" wrapText="1"/>
    </xf>
    <xf numFmtId="0" fontId="7" fillId="0" borderId="0" applyAlignment="1" pivotButton="0" quotePrefix="0" xfId="0">
      <alignment horizontal="general" vertical="top" wrapText="1"/>
    </xf>
    <xf numFmtId="0" fontId="7"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F2A44"/>
          <bgColor rgb="FF000000"/>
        </patternFill>
      </fill>
    </dxf>
    <dxf>
      <fill>
        <patternFill patternType="solid">
          <bgColor rgb="FF000000"/>
        </patternFill>
      </fill>
    </dxf>
    <dxf>
      <fill>
        <patternFill patternType="solid">
          <fgColor rgb="FFFFFFFF"/>
          <bgColor rgb="FF000000"/>
        </patternFill>
      </fill>
    </dxf>
    <dxf>
      <fill>
        <patternFill patternType="solid">
          <fgColor rgb="FFE6F4EA"/>
          <bgColor rgb="FF000000"/>
        </patternFill>
      </fill>
    </dxf>
    <dxf>
      <fill>
        <patternFill patternType="solid">
          <fgColor rgb="FFEEEEEE"/>
          <bgColor rgb="FF000000"/>
        </patternFill>
      </fill>
    </dxf>
    <dxf>
      <fill>
        <patternFill patternType="solid">
          <fgColor rgb="FFFFF4E5"/>
          <bgColor rgb="FF000000"/>
        </patternFill>
      </fill>
    </dxf>
    <dxf>
      <fill>
        <patternFill>
          <bgColor rgb="FFE6F4EA"/>
        </patternFill>
      </fill>
    </dxf>
    <dxf>
      <fill>
        <patternFill>
          <bgColor rgb="FFFFF4E5"/>
        </patternFill>
      </fill>
    </dxf>
    <dxf>
      <fill>
        <patternFill>
          <bgColor rgb="FFEEEEE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E5"/>
      <rgbColor rgb="FFE6F4EA"/>
      <rgbColor rgb="FF660066"/>
      <rgbColor rgb="FFFF8080"/>
      <rgbColor rgb="FF0066CC"/>
      <rgbColor rgb="FFD0D5DD"/>
      <rgbColor rgb="FF000080"/>
      <rgbColor rgb="FFFF00FF"/>
      <rgbColor rgb="FFFFFF00"/>
      <rgbColor rgb="FF00FFFF"/>
      <rgbColor rgb="FF800080"/>
      <rgbColor rgb="FF800000"/>
      <rgbColor rgb="FF008080"/>
      <rgbColor rgb="FF0000FF"/>
      <rgbColor rgb="FF00CCFF"/>
      <rgbColor rgb="FFEEEEEE"/>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2A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1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8" customWidth="1" style="10" min="1" max="1"/>
    <col width="12" customWidth="1" style="10" min="2" max="2"/>
  </cols>
  <sheetData>
    <row r="1" ht="19.7" customHeight="1" s="11">
      <c r="A1" s="12" t="inlineStr">
        <is>
          <t>ALITA – Requirements</t>
        </is>
      </c>
    </row>
    <row r="2" ht="15" customHeight="1" s="11">
      <c r="A2" s="13" t="inlineStr">
        <is>
          <t>Stand: Release 3.4.0 vom 30.10.2026 · REQ-01 – REQ-21 aus dem Review von 2.0.0, REQ-22 – REQ-34 aus der Sitzung vom 17.10.2026 (inkl. Feedback von Dustin), REQ-35 – REQ-51 aus der Sitzung vom 29.10.2026</t>
        </is>
      </c>
    </row>
    <row r="4" ht="15" customHeight="1" s="11">
      <c r="A4" s="14" t="inlineStr">
        <is>
          <t>Kennzahl</t>
        </is>
      </c>
      <c r="B4" s="14" t="inlineStr">
        <is>
          <t>Anzahl</t>
        </is>
      </c>
    </row>
    <row r="5" ht="15" customHeight="1" s="11">
      <c r="A5" s="17" t="inlineStr">
        <is>
          <t>Requirements gesamt</t>
        </is>
      </c>
      <c r="B5" s="18">
        <f>COUNTA(Requirements!A2:A200)</f>
        <v/>
      </c>
    </row>
    <row r="6" ht="15" customHeight="1" s="11">
      <c r="A6" s="17" t="inlineStr">
        <is>
          <t>Erledigt (alle Varianten von „Erledigt“)</t>
        </is>
      </c>
      <c r="B6" s="18">
        <f>COUNTIF(Requirements!C2:C200,"Erledigt*")</f>
        <v/>
      </c>
    </row>
    <row r="7" ht="15" customHeight="1" s="11">
      <c r="A7" s="17" t="inlineStr">
        <is>
          <t>davon mit offenen Punkten / fehlenden Daten</t>
        </is>
      </c>
      <c r="B7" s="18">
        <f>COUNTIF(Requirements!C2:C200,"*offene Punkte*")+COUNTIF(Requirements!C2:C200,"*fehlen*")</f>
        <v/>
      </c>
    </row>
    <row r="8" ht="15" customHeight="1" s="11">
      <c r="A8" s="17" t="inlineStr">
        <is>
          <t>Abweichung</t>
        </is>
      </c>
      <c r="B8" s="18">
        <f>COUNTIF(Requirements!C2:C200,"Abweichung*")</f>
        <v/>
      </c>
    </row>
    <row r="9" ht="15" customHeight="1" s="11">
      <c r="A9" s="17" t="inlineStr">
        <is>
          <t>Platzhalter</t>
        </is>
      </c>
      <c r="B9" s="18">
        <f>COUNTIF(Requirements!C2:C200,"Platzhalter*")</f>
        <v/>
      </c>
    </row>
    <row r="10" ht="15" customHeight="1" s="11">
      <c r="A10" s="17" t="inlineStr">
        <is>
          <t>Teilweise</t>
        </is>
      </c>
      <c r="B10" s="18">
        <f>COUNTIF(Requirements!C2:C200,"Teilweise*")</f>
        <v/>
      </c>
    </row>
    <row r="11" ht="15" customHeight="1" s="11">
      <c r="A11" s="17" t="inlineStr">
        <is>
          <t>Ersetzt</t>
        </is>
      </c>
      <c r="B11" s="18">
        <f>COUNTIF(Requirements!C2:C200,"Ersetzt*")</f>
        <v/>
      </c>
    </row>
    <row r="12" ht="15" customHeight="1" s="11">
      <c r="A12" s="17" t="inlineStr">
        <is>
          <t>Offen</t>
        </is>
      </c>
      <c r="B12" s="18">
        <f>COUNTIF(Requirements!C2:C200,"Offen*")</f>
        <v/>
      </c>
    </row>
    <row r="13" ht="15" customHeight="1" s="11">
      <c r="A13" s="17" t="inlineStr">
        <is>
          <t>Neu in Release 3.x</t>
        </is>
      </c>
      <c r="B13" s="18">
        <f>COUNTIF(Requirements!D2:D200,"3.*")</f>
        <v/>
      </c>
    </row>
    <row r="14">
      <c r="A14" s="17" t="inlineStr">
        <is>
          <t>Davon aus Feedback von Dustin</t>
        </is>
      </c>
      <c r="B14" s="18">
        <f>COUNTIF(Requirements!E2:E200,"Dustin*")</f>
        <v/>
      </c>
    </row>
    <row r="15" ht="15" customHeight="1" s="11"/>
    <row r="16">
      <c r="A16" s="19" t="inlineStr">
        <is>
          <t>Die Zahlen werden per Formel aus dem Blatt „Requirements“ gezählt und aktualisieren sich, wenn dort Status geändert oder Zeilen ergänzt werden.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73"/>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9" customWidth="1" style="10" min="1" max="1"/>
    <col width="38" customWidth="1" style="10" min="2" max="2"/>
    <col width="26" customWidth="1" style="10" min="3" max="3"/>
    <col width="20" customWidth="1" style="10" min="4" max="5"/>
    <col width="90" customWidth="1" style="10" min="6" max="6"/>
  </cols>
  <sheetData>
    <row r="1" ht="30" customHeight="1" s="11">
      <c r="A1" s="20" t="inlineStr">
        <is>
          <t>ID</t>
        </is>
      </c>
      <c r="B1" s="20" t="inlineStr">
        <is>
          <t>Requirement</t>
        </is>
      </c>
      <c r="C1" s="20" t="inlineStr">
        <is>
          <t>Status</t>
        </is>
      </c>
      <c r="D1" s="20" t="inlineStr">
        <is>
          <t>Release(s)</t>
        </is>
      </c>
      <c r="E1" s="20" t="inlineStr">
        <is>
          <t>Quelle</t>
        </is>
      </c>
      <c r="F1" s="20" t="inlineStr">
        <is>
          <t>Umsetzung</t>
        </is>
      </c>
    </row>
    <row r="2" ht="23.85" customHeight="1" s="11">
      <c r="A2" s="22" t="inlineStr">
        <is>
          <t>REQ-01</t>
        </is>
      </c>
      <c r="B2" s="22" t="inlineStr">
        <is>
          <t>Arbeitsfläche in vier Bereiche</t>
        </is>
      </c>
      <c r="C2" s="22" t="inlineStr">
        <is>
          <t>Erledigt (Layout geändert)</t>
        </is>
      </c>
      <c r="D2" s="22" t="inlineStr">
        <is>
          <t>1.11.0 · 2.1.0</t>
        </is>
      </c>
      <c r="E2" s="22" t="inlineStr">
        <is>
          <t>Review 2.0.0</t>
        </is>
      </c>
      <c r="F2" s="22" t="inlineStr">
        <is>
          <t>B-Seite in Bereiche aufgeteilt; seit 2.1.0: Karte links über die volle Höhe, rechts Projects &amp; clusters (⅔) über dem Graph Chat (⅓), Window to the outside als Button mit Pop-up.</t>
        </is>
      </c>
    </row>
    <row r="3" ht="23.85" customHeight="1" s="11">
      <c r="A3" s="22" t="inlineStr">
        <is>
          <t>REQ-02</t>
        </is>
      </c>
      <c r="B3" s="22" t="inlineStr">
        <is>
          <t>Karte immer sichtbar</t>
        </is>
      </c>
      <c r="C3" s="22" t="inlineStr">
        <is>
          <t>Erledigt</t>
        </is>
      </c>
      <c r="D3" s="22" t="inlineStr">
        <is>
          <t>1.12.0</t>
        </is>
      </c>
      <c r="E3" s="22" t="inlineStr">
        <is>
          <t>Review 2.0.0</t>
        </is>
      </c>
      <c r="F3" s="22" t="inlineStr">
        <is>
          <t>Seite passt in die Fensterhöhe; Dokumente und Projekte öffnen im Bereich Projects &amp; clusters, die Karte verschwindet nie.</t>
        </is>
      </c>
    </row>
    <row r="4" ht="23.85" customHeight="1" s="11">
      <c r="A4" s="22" t="inlineStr">
        <is>
          <t>REQ-03</t>
        </is>
      </c>
      <c r="B4" s="22" t="inlineStr">
        <is>
          <t>Import vieler Projekte/Ordner</t>
        </is>
      </c>
      <c r="C4" s="22" t="inlineStr">
        <is>
          <t>Erledigt</t>
        </is>
      </c>
      <c r="D4" s="22" t="inlineStr">
        <is>
          <t>vor 1.0 · 1.16.0</t>
        </is>
      </c>
      <c r="E4" s="22" t="inlineStr">
        <is>
          <t>Review 2.0.0</t>
        </is>
      </c>
      <c r="F4" s="22" t="inlineStr">
        <is>
          <t>Alle Projektordner in einer gemeinsamen Karte; „Add new data“ lädt mehrere Projekte (je ein ZIP) mit Zieldatenbank, Datentyp und Gesamtdatum.</t>
        </is>
      </c>
    </row>
    <row r="5" ht="15" customHeight="1" s="11">
      <c r="A5" s="22" t="inlineStr">
        <is>
          <t>REQ-04</t>
        </is>
      </c>
      <c r="B5" s="22" t="inlineStr">
        <is>
          <t>Sprechende Cluster-Namen</t>
        </is>
      </c>
      <c r="C5" s="22" t="inlineStr">
        <is>
          <t>Erledigt</t>
        </is>
      </c>
      <c r="D5" s="22" t="inlineStr">
        <is>
          <t>1.10.0</t>
        </is>
      </c>
      <c r="E5" s="22" t="inlineStr">
        <is>
          <t>Review 2.0.0</t>
        </is>
      </c>
      <c r="F5" s="22" t="inlineStr">
        <is>
          <t>Jeder Clustering-Lauf erzeugt kurze, beschreibende Namen statt „Cluster 3“ oder Begriffslisten.</t>
        </is>
      </c>
    </row>
    <row r="6" ht="23.85" customHeight="1" s="11">
      <c r="A6" s="22" t="inlineStr">
        <is>
          <t>REQ-05</t>
        </is>
      </c>
      <c r="B6" s="22" t="inlineStr">
        <is>
          <t>Cluster-Zusammenfassung</t>
        </is>
      </c>
      <c r="C6" s="22" t="inlineStr">
        <is>
          <t>Erledigt</t>
        </is>
      </c>
      <c r="D6" s="22" t="inlineStr">
        <is>
          <t>1.4.0 · 1.9.0 · 1.12.0 · 1.13.0</t>
        </is>
      </c>
      <c r="E6" s="22" t="inlineStr">
        <is>
          <t>Review 2.0.0</t>
        </is>
      </c>
      <c r="F6" s="22" t="inlineStr">
        <is>
          <t>Beschreibung, Kernaussagen, verwendete Analysen; angedocktes Panel; verbundene Cluster; Dokumentliste.</t>
        </is>
      </c>
    </row>
    <row r="7" ht="15" customHeight="1" s="11">
      <c r="A7" s="22" t="inlineStr">
        <is>
          <t>REQ-06</t>
        </is>
      </c>
      <c r="B7" s="22" t="inlineStr">
        <is>
          <t>3D-Navigation als Hauptansicht</t>
        </is>
      </c>
      <c r="C7" s="22" t="inlineStr">
        <is>
          <t>Erledigt</t>
        </is>
      </c>
      <c r="D7" s="22" t="inlineStr">
        <is>
          <t>1.3.0 · 1.5.0 · 1.14.0</t>
        </is>
      </c>
      <c r="E7" s="22" t="inlineStr">
        <is>
          <t>Review 2.0.0</t>
        </is>
      </c>
      <c r="F7" s="22" t="inlineStr">
        <is>
          <t>3D-Raum mit Zeit; 3D als Standard; drei Ebenen Projekte &amp; Paper → Cluster → Dokumente; „⟲ Reset view“.</t>
        </is>
      </c>
    </row>
    <row r="8" ht="15" customHeight="1" s="11">
      <c r="A8" s="22" t="inlineStr">
        <is>
          <t>REQ-07</t>
        </is>
      </c>
      <c r="B8" s="22" t="inlineStr">
        <is>
          <t>Zuverlässige Cluster-Erkennung</t>
        </is>
      </c>
      <c r="C8" s="22" t="inlineStr">
        <is>
          <t>Erledigt</t>
        </is>
      </c>
      <c r="D8" s="22" t="inlineStr">
        <is>
          <t>0.8.0 · 1.8.0</t>
        </is>
      </c>
      <c r="E8" s="22" t="inlineStr">
        <is>
          <t>Review 2.0.0</t>
        </is>
      </c>
      <c r="F8" s="22" t="inlineStr">
        <is>
          <t>Mindestens 3 Cluster je Datensatz; Projektdateien einzeln geclustert – Magnolia hat rund 10 Cluster statt 1.</t>
        </is>
      </c>
    </row>
    <row r="9" ht="23.85" customHeight="1" s="11">
      <c r="A9" s="22" t="inlineStr">
        <is>
          <t>REQ-08</t>
        </is>
      </c>
      <c r="B9" s="22" t="inlineStr">
        <is>
          <t>Korrektes Laden der Dokumente</t>
        </is>
      </c>
      <c r="C9" s="22" t="inlineStr">
        <is>
          <t>Erledigt (erklärt)</t>
        </is>
      </c>
      <c r="D9" s="22" t="inlineStr">
        <is>
          <t>1.13.0</t>
        </is>
      </c>
      <c r="E9" s="22" t="inlineStr">
        <is>
          <t>Review 2.0.0</t>
        </is>
      </c>
      <c r="F9" s="22" t="inlineStr">
        <is>
          <t>Nichts fehlte: 146 Dateien sind bewusst ausgeschlossene Literaturordner (PROJECT_EXCLUDE); Datenbank-Info zeigt Anzahl und Regel.</t>
        </is>
      </c>
    </row>
    <row r="10" ht="23.85" customHeight="1" s="11">
      <c r="A10" s="22" t="inlineStr">
        <is>
          <t>REQ-09</t>
        </is>
      </c>
      <c r="B10" s="22" t="inlineStr">
        <is>
          <t>Direkte Cluster-/Projektansicht</t>
        </is>
      </c>
      <c r="C10" s="22" t="inlineStr">
        <is>
          <t>Erledigt</t>
        </is>
      </c>
      <c r="D10" s="22" t="inlineStr">
        <is>
          <t>1.12.0 · 1.13.0</t>
        </is>
      </c>
      <c r="E10" s="22" t="inlineStr">
        <is>
          <t>Review 2.0.0</t>
        </is>
      </c>
      <c r="F10" s="22" t="inlineStr">
        <is>
          <t>Klick in die Karte zeigt rechts den Inhalt: Dokumentlisten der Cluster, Projektkarte mit Dateien, Clustern und Team.</t>
        </is>
      </c>
    </row>
    <row r="11" ht="23.85" customHeight="1" s="11">
      <c r="A11" s="22" t="inlineStr">
        <is>
          <t>REQ-10</t>
        </is>
      </c>
      <c r="B11" s="22" t="inlineStr">
        <is>
          <t>Versionsverlauf</t>
        </is>
      </c>
      <c r="C11" s="22" t="inlineStr">
        <is>
          <t>Erledigt – offene Punkte</t>
        </is>
      </c>
      <c r="D11" s="22" t="inlineStr">
        <is>
          <t>1.15.0</t>
        </is>
      </c>
      <c r="E11" s="22" t="inlineStr">
        <is>
          <t>Review 2.0.0</t>
        </is>
      </c>
      <c r="F11" s="22" t="inlineStr">
        <is>
          <t>Zeitleiste in der Projektkarte: Versionen nach Art der Änderung eingefärbt, Erkenntnisstufen als Bänder, Analysen ihrer Stufe zugeordnet.</t>
        </is>
      </c>
    </row>
    <row r="12" ht="23.85" customHeight="1" s="11">
      <c r="A12" s="22" t="inlineStr">
        <is>
          <t>REQ-11</t>
        </is>
      </c>
      <c r="B12" s="22" t="inlineStr">
        <is>
          <t>Ein einziger Chat</t>
        </is>
      </c>
      <c r="C12" s="22" t="inlineStr">
        <is>
          <t>Abweichung</t>
        </is>
      </c>
      <c r="D12" s="22" t="inlineStr">
        <is>
          <t>1.14.0</t>
        </is>
      </c>
      <c r="E12" s="22" t="inlineStr">
        <is>
          <t>Review 2.0.0</t>
        </is>
      </c>
      <c r="F12" s="22" t="inlineStr">
        <is>
          <t>Chats nicht zusammengelegt; Erklärung über jedem Chat und ALITA („RAG vs. Graph?“, Tour) erklären, welcher wofür. Zusammenlegen offen, falls gewünscht.</t>
        </is>
      </c>
    </row>
    <row r="13" ht="23.85" customHeight="1" s="11">
      <c r="A13" s="22" t="inlineStr">
        <is>
          <t>REQ-12</t>
        </is>
      </c>
      <c r="B13" s="22" t="inlineStr">
        <is>
          <t>Kontextabhängiger Chat-Umfang</t>
        </is>
      </c>
      <c r="C13" s="22" t="inlineStr">
        <is>
          <t>Erledigt</t>
        </is>
      </c>
      <c r="D13" s="22" t="inlineStr">
        <is>
          <t>1.14.0</t>
        </is>
      </c>
      <c r="E13" s="22" t="inlineStr">
        <is>
          <t>Review 2.0.0</t>
        </is>
      </c>
      <c r="F13" s="22" t="inlineStr">
        <is>
          <t>Nichts gewählt → ganze Karte; Projekt → nur dieses Projekt; Cluster → nur diese Cluster; Anzeige über der Eingabe.</t>
        </is>
      </c>
    </row>
    <row r="14" ht="15" customHeight="1" s="11">
      <c r="A14" s="22" t="inlineStr">
        <is>
          <t>REQ-13</t>
        </is>
      </c>
      <c r="B14" s="22" t="inlineStr">
        <is>
          <t>Antworten links, Eingabe rechts</t>
        </is>
      </c>
      <c r="C14" s="22" t="inlineStr">
        <is>
          <t>Erledigt</t>
        </is>
      </c>
      <c r="D14" s="22" t="inlineStr">
        <is>
          <t>1.8.0 · 1.9.0 · 1.16.1</t>
        </is>
      </c>
      <c r="E14" s="22" t="inlineStr">
        <is>
          <t>Review 2.0.0</t>
        </is>
      </c>
      <c r="F14" s="22" t="inlineStr">
        <is>
          <t>Antworten links; Fragen, Eingabe und Einstellungen rechts.</t>
        </is>
      </c>
    </row>
    <row r="15" ht="15" customHeight="1" s="11">
      <c r="A15" s="22" t="inlineStr">
        <is>
          <t>REQ-14</t>
        </is>
      </c>
      <c r="B15" s="22" t="inlineStr">
        <is>
          <t>Ausblendbare Parameter</t>
        </is>
      </c>
      <c r="C15" s="22" t="inlineStr">
        <is>
          <t>Erledigt</t>
        </is>
      </c>
      <c r="D15" s="22" t="inlineStr">
        <is>
          <t>1.8.0 · 1.13.0</t>
        </is>
      </c>
      <c r="E15" s="22" t="inlineStr">
        <is>
          <t>Review 2.0.0</t>
        </is>
      </c>
      <c r="F15" s="22" t="inlineStr">
        <is>
          <t>Parameter und System-Prompt hinter einer eingeklappten Zeile „Advanced settings“ je Chat.</t>
        </is>
      </c>
    </row>
    <row r="16" ht="23.85" customHeight="1" s="11">
      <c r="A16" s="22" t="inlineStr">
        <is>
          <t>REQ-15</t>
        </is>
      </c>
      <c r="B16" s="22" t="inlineStr">
        <is>
          <t>Fragen zum Erkenntnisfortschritt</t>
        </is>
      </c>
      <c r="C16" s="22" t="inlineStr">
        <is>
          <t>Erledigt</t>
        </is>
      </c>
      <c r="D16" s="22" t="inlineStr">
        <is>
          <t>1.15.0</t>
        </is>
      </c>
      <c r="E16" s="22" t="inlineStr">
        <is>
          <t>Review 2.0.0</t>
        </is>
      </c>
      <c r="F16" s="22" t="inlineStr">
        <is>
          <t>Beide Chats erkennen Fortschrittsfragen und „wie wurden die Analysen gemacht“ und antworten aus den Erkenntnisstufen.</t>
        </is>
      </c>
    </row>
    <row r="17" ht="23.85" customHeight="1" s="11">
      <c r="A17" s="22" t="inlineStr">
        <is>
          <t>REQ-16</t>
        </is>
      </c>
      <c r="B17" s="22" t="inlineStr">
        <is>
          <t>Tabelle der Erkenntnisstufen</t>
        </is>
      </c>
      <c r="C17" s="22" t="inlineStr">
        <is>
          <t>Erledigt</t>
        </is>
      </c>
      <c r="D17" s="22" t="inlineStr">
        <is>
          <t>1.15.0</t>
        </is>
      </c>
      <c r="E17" s="22" t="inlineStr">
        <is>
          <t>Review 2.0.0</t>
        </is>
      </c>
      <c r="F17" s="22" t="inlineStr">
        <is>
          <t>Stufentabelle (Stufe · Erkenntnisstand · Dateien · Analysen) unter der Antwort und in der Projektkarte; 3, 5 oder 10 Stufen.</t>
        </is>
      </c>
    </row>
    <row r="18" ht="23.85" customHeight="1" s="11">
      <c r="A18" s="22" t="inlineStr">
        <is>
          <t>REQ-17</t>
        </is>
      </c>
      <c r="B18" s="22" t="inlineStr">
        <is>
          <t>Inhaltliche vs. formale Änderungen</t>
        </is>
      </c>
      <c r="C18" s="22" t="inlineStr">
        <is>
          <t>Erledigt – offene Punkte</t>
        </is>
      </c>
      <c r="D18" s="22" t="inlineStr">
        <is>
          <t>1.15.0</t>
        </is>
      </c>
      <c r="E18" s="22" t="inlineStr">
        <is>
          <t>Review 2.0.0</t>
        </is>
      </c>
      <c r="F18" s="22" t="inlineStr">
        <is>
          <t>Jede Version als inhaltlich, Umformulierung, Formatierung oder Neueinreichung eingestuft, z. B. „71 von 75 Versionen ohne grundlegend neue Erkenntnis“.</t>
        </is>
      </c>
    </row>
    <row r="19" ht="15" customHeight="1" s="11">
      <c r="A19" s="22" t="inlineStr">
        <is>
          <t>REQ-18</t>
        </is>
      </c>
      <c r="B19" s="22" t="inlineStr">
        <is>
          <t>Stufen verlinken auf Quelldateien</t>
        </is>
      </c>
      <c r="C19" s="22" t="inlineStr">
        <is>
          <t>Erledigt</t>
        </is>
      </c>
      <c r="D19" s="22" t="inlineStr">
        <is>
          <t>1.15.0</t>
        </is>
      </c>
      <c r="E19" s="22" t="inlineStr">
        <is>
          <t>Review 2.0.0</t>
        </is>
      </c>
      <c r="F19" s="22" t="inlineStr">
        <is>
          <t>Jede Stufe zeigt ihren Bereich („Files 1–7“); jede Datei öffnet das Dokument.</t>
        </is>
      </c>
    </row>
    <row r="20" ht="23.85" customHeight="1" s="11">
      <c r="A20" s="22" t="inlineStr">
        <is>
          <t>REQ-19</t>
        </is>
      </c>
      <c r="B20" s="22" t="inlineStr">
        <is>
          <t>Richtige Zuordnung und Datenauswahl</t>
        </is>
      </c>
      <c r="C20" s="22" t="inlineStr">
        <is>
          <t>Erledigt – Teamdaten fehlen</t>
        </is>
      </c>
      <c r="D20" s="22" t="inlineStr">
        <is>
          <t>1.14.0</t>
        </is>
      </c>
      <c r="E20" s="22" t="inlineStr">
        <is>
          <t>Review 2.0.0</t>
        </is>
      </c>
      <c r="F20" s="22" t="inlineStr">
        <is>
          <t>Kuratierte Projektteams statt Datei-Metadaten; Störnamen entfernt; „restrict to a person“ in beiden Chats. Team Sustainability noch einzutragen.</t>
        </is>
      </c>
    </row>
    <row r="21" ht="23.85" customHeight="1" s="11">
      <c r="A21" s="22" t="inlineStr">
        <is>
          <t>REQ-20</t>
        </is>
      </c>
      <c r="B21" s="22" t="inlineStr">
        <is>
          <t>Externe Prüfung (External challenge)</t>
        </is>
      </c>
      <c r="C21" s="22" t="inlineStr">
        <is>
          <t>Platzhalter</t>
        </is>
      </c>
      <c r="D21" s="22" t="inlineStr">
        <is>
          <t>1.11.0 · 2.1.0</t>
        </is>
      </c>
      <c r="E21" s="22" t="inlineStr">
        <is>
          <t>Review 2.0.0</t>
        </is>
      </c>
      <c r="F21" s="22" t="inlineStr">
        <is>
          <t>Konzept („under construction“) für den Antrag; seit 2.1.0 über den Button „Window to the outside“ als Pop-up; Umsetzung später.</t>
        </is>
      </c>
    </row>
    <row r="22" ht="23.85" customHeight="1" s="11">
      <c r="A22" s="22" t="inlineStr">
        <is>
          <t>REQ-21</t>
        </is>
      </c>
      <c r="B22" s="22" t="inlineStr">
        <is>
          <t>Weniger Informationsdichte</t>
        </is>
      </c>
      <c r="C22" s="22" t="inlineStr">
        <is>
          <t>Teilweise – niedrige Priorität</t>
        </is>
      </c>
      <c r="D22" s="22" t="inlineStr">
        <is>
          <t>1.10.0 · 1.12.0 · 1.13.0</t>
        </is>
      </c>
      <c r="E22" s="22" t="inlineStr">
        <is>
          <t>Review 2.0.0</t>
        </is>
      </c>
      <c r="F22" s="22" t="inlineStr">
        <is>
          <t>Kurze Cluster-Namen, doppelte Detailansicht entfernt, Beschreibungen nur für gewählte Cluster, Einstellungen eingeklappt; Gesamtüberarbeitung später.</t>
        </is>
      </c>
    </row>
    <row r="23" ht="15" customHeight="1" s="11">
      <c r="A23" s="22" t="inlineStr">
        <is>
          <t>REQ-22</t>
        </is>
      </c>
      <c r="B23" s="22" t="inlineStr">
        <is>
          <t>Volle Bildschirmbreite</t>
        </is>
      </c>
      <c r="C23" s="22" t="inlineStr">
        <is>
          <t>Erledigt</t>
        </is>
      </c>
      <c r="D23" s="22" t="inlineStr">
        <is>
          <t>2.1.0</t>
        </is>
      </c>
      <c r="E23" s="22" t="inlineStr">
        <is>
          <t>Sitzung 2026-10-17</t>
        </is>
      </c>
      <c r="F23" s="22" t="inlineStr">
        <is>
          <t>max-width:1600px der Seiten-Hülle (.app in css/base.css) entfernt. Nur Frontend – Browser-Reload genügt.</t>
        </is>
      </c>
    </row>
    <row r="24" ht="23.85" customHeight="1" s="11">
      <c r="A24" s="22" t="inlineStr">
        <is>
          <t>REQ-23</t>
        </is>
      </c>
      <c r="B24" s="22" t="inlineStr">
        <is>
          <t>B-Erklärung unter dem Datenbank-Balken</t>
        </is>
      </c>
      <c r="C24" s="22" t="inlineStr">
        <is>
          <t>Erledigt</t>
        </is>
      </c>
      <c r="D24" s="22" t="inlineStr">
        <is>
          <t>2.1.0</t>
        </is>
      </c>
      <c r="E24" s="22" t="inlineStr">
        <is>
          <t>Sitzung 2026-10-17</t>
        </is>
      </c>
      <c r="F24" s="22" t="inlineStr">
        <is>
          <t>Element aus #bTileSlot an den Anfang von #page-graph verschoben (index.html), Abstand in css/tiles.css. Die Kartenhöhe passt sich automatisch an (fitBPage).</t>
        </is>
      </c>
    </row>
    <row r="25" ht="35.05" customHeight="1" s="11">
      <c r="A25" s="22" t="inlineStr">
        <is>
          <t>REQ-24</t>
        </is>
      </c>
      <c r="B25" s="22" t="inlineStr">
        <is>
          <t>Window to the outside nur als Button</t>
        </is>
      </c>
      <c r="C25" s="22" t="inlineStr">
        <is>
          <t>Erledigt</t>
        </is>
      </c>
      <c r="D25" s="22" t="inlineStr">
        <is>
          <t>2.1.0</t>
        </is>
      </c>
      <c r="E25" s="22" t="inlineStr">
        <is>
          <t>Sitzung 2026-10-17</t>
        </is>
      </c>
      <c r="F25" s="22" t="inlineStr">
        <is>
          <t>Raster auf "map cluster" / "chat cluster" umgestellt (css/clusters.css); Button #bOutsideBtn + Pop-up mit Abdunklung (index.html, css/tiles.css, js/clusters.js); ALITA-Tour zeigt auf den Button. Ändert die Aufteilung aus REQ-01.</t>
        </is>
      </c>
    </row>
    <row r="26" ht="23.85" customHeight="1" s="11">
      <c r="A26" s="22" t="inlineStr">
        <is>
          <t>REQ-25</t>
        </is>
      </c>
      <c r="B26" s="22" t="inlineStr">
        <is>
          <t>Button mit Animation, klein, links</t>
        </is>
      </c>
      <c r="C26" s="22" t="inlineStr">
        <is>
          <t>Erledigt</t>
        </is>
      </c>
      <c r="D26" s="22" t="inlineStr">
        <is>
          <t>2.1.0</t>
        </is>
      </c>
      <c r="E26" s="22" t="inlineStr">
        <is>
          <t>Sitzung 2026-10-17</t>
        </is>
      </c>
      <c r="F26" s="22" t="inlineStr">
        <is>
          <t>Animation wird beim Laden aus dem Fenster kopiert (eigene IDs, Ausschnitt auf den Bagger), Button 240×64 px links (css/tiles.css, js/clusters.js). Ergänzt REQ-24.</t>
        </is>
      </c>
    </row>
    <row r="27" ht="35.05" customHeight="1" s="11">
      <c r="A27" s="22" t="inlineStr">
        <is>
          <t>REQ-26</t>
        </is>
      </c>
      <c r="B27" s="22" t="inlineStr">
        <is>
          <t>Wissenskarte füllt die Kachelbreite</t>
        </is>
      </c>
      <c r="C27" s="22" t="inlineStr">
        <is>
          <t>Erledigt</t>
        </is>
      </c>
      <c r="D27" s="22" t="inlineStr">
        <is>
          <t>2.1.0</t>
        </is>
      </c>
      <c r="E27" s="22" t="inlineStr">
        <is>
          <t>Sitzung 2026-10-17</t>
        </is>
      </c>
      <c r="F27" s="22" t="inlineStr">
        <is>
          <t>mountGraph3D (js/clusters.js): Periodenabstand, Projektbreite und Cluster-Streuung aus Kachelbreite/Höhe berechnet; Neu-Layout bei Breitenänderung. Geprüft an der laufenden Instanz (1173 px und 1823 px breite Kachel).</t>
        </is>
      </c>
    </row>
    <row r="28" ht="23.85" customHeight="1" s="11">
      <c r="A28" s="22" t="inlineStr">
        <is>
          <t>REQ-27</t>
        </is>
      </c>
      <c r="B28" s="22" t="inlineStr">
        <is>
          <t>Chat als Streifen über die volle Breite</t>
        </is>
      </c>
      <c r="C28" s="22" t="inlineStr">
        <is>
          <t>Ersetzt durch REQ-28</t>
        </is>
      </c>
      <c r="D28" s="22" t="inlineStr">
        <is>
          <t>2.1.0</t>
        </is>
      </c>
      <c r="E28" s="22" t="inlineStr">
        <is>
          <t>Sitzung 2026-10-17</t>
        </is>
      </c>
      <c r="F28" s="22" t="inlineStr">
        <is>
          <t>Raster auf "map cluster" / "chat chat", Zeilen 1.7fr / 1fr (css/clusters.css). Ersetzt die Aufteilung „Projects &amp; clusters über die ganze rechte Seite“ aus REQ-24. → Am selben Tag durch REQ-28 ersetzt.</t>
        </is>
      </c>
    </row>
    <row r="29" ht="23.85" customHeight="1" s="11">
      <c r="A29" s="22" t="inlineStr">
        <is>
          <t>REQ-28</t>
        </is>
      </c>
      <c r="B29" s="22" t="inlineStr">
        <is>
          <t>Karte links; rechts Projects &amp; clusters ⅔, Chat ⅓</t>
        </is>
      </c>
      <c r="C29" s="22" t="inlineStr">
        <is>
          <t>Erledigt</t>
        </is>
      </c>
      <c r="D29" s="22" t="inlineStr">
        <is>
          <t>2.1.0</t>
        </is>
      </c>
      <c r="E29" s="22" t="inlineStr">
        <is>
          <t>Sitzung 2026-10-17</t>
        </is>
      </c>
      <c r="F29" s="22" t="inlineStr">
        <is>
          <t>Raster "map cluster" / "map chat", Zeilen 2fr / 1fr (css/clusters.css); Höhenbegrenzung der Karte von 720 px auf 1600 px angehoben (js/clusters.js). Geprüft an der laufenden Instanz bei 2400×1300.</t>
        </is>
      </c>
    </row>
    <row r="30" ht="35.05" customHeight="1" s="11">
      <c r="A30" s="22" t="inlineStr">
        <is>
          <t>REQ-29</t>
        </is>
      </c>
      <c r="B30" s="22" t="inlineStr">
        <is>
          <t>Wissenskarte füllt auch die Kachelhöhe</t>
        </is>
      </c>
      <c r="C30" s="22" t="inlineStr">
        <is>
          <t>Erledigt</t>
        </is>
      </c>
      <c r="D30" s="22" t="inlineStr">
        <is>
          <t>2.1.0</t>
        </is>
      </c>
      <c r="E30" s="22" t="inlineStr">
        <is>
          <t>Sitzung 2026-10-17</t>
        </is>
      </c>
      <c r="F30" s="22" t="inlineStr">
        <is>
          <t>Vertikale Streckung KY aus dem Seitenverhältnis, Dokumenten-Streifen nach Zeilenzahl, automatisches Einpassen der Kamera (js/clusters.js). Geprüft an der laufenden Instanz: 1823×1294 → Elemente x 118–1738, y 161–1269.</t>
        </is>
      </c>
    </row>
    <row r="31" ht="23.85" customHeight="1" s="11">
      <c r="A31" s="22" t="inlineStr">
        <is>
          <t>REQ-30</t>
        </is>
      </c>
      <c r="B31" s="22" t="inlineStr">
        <is>
          <t>Refactor</t>
        </is>
      </c>
      <c r="C31" s="22" t="inlineStr">
        <is>
          <t>Erledigt</t>
        </is>
      </c>
      <c r="D31" s="22" t="inlineStr">
        <is>
          <t>2.1.0</t>
        </is>
      </c>
      <c r="E31" s="22" t="inlineStr">
        <is>
          <t>Sitzung 2026-10-17</t>
        </is>
      </c>
      <c r="F31" s="22" t="inlineStr">
        <is>
          <t>js/clusters.js: v3BLayout(), v3FitCam(), onBResize(); neu js/outside.js (in index.html eingebunden, vom Artefakt-Build automatisch übernommen). Im Browser an der laufenden Instanz geprüft.</t>
        </is>
      </c>
    </row>
    <row r="32" ht="46.25" customHeight="1" s="11">
      <c r="A32" s="22" t="inlineStr">
        <is>
          <t>REQ-31</t>
        </is>
      </c>
      <c r="B32" s="22" t="inlineStr">
        <is>
          <t>3D-Zeitansicht: Klick wählt den Cluster</t>
        </is>
      </c>
      <c r="C32" s="22" t="inlineStr">
        <is>
          <t>Erledigt</t>
        </is>
      </c>
      <c r="D32" s="22" t="inlineStr">
        <is>
          <t>2.1.0</t>
        </is>
      </c>
      <c r="E32" s="22" t="inlineStr">
        <is>
          <t>Dustin (Feedback)</t>
        </is>
      </c>
      <c r="F32" s="22" t="inlineStr">
        <is>
          <t>Connected-cluster-Buttons schalten die Beschreibung um und halten sie fest (cpWireConn); Klick nimmt den Cluster unter dem Mauszeiger (S3.clusterAt) statt des zuletzt gehoverten; Ziehen wird über S3.lastMoved erkannt. Dateien: js/space3d.js, js/cluster-profile.js. Auf alita.prodigi-marburg.de muss das Frontend neu ausgeliefert werden.</t>
        </is>
      </c>
    </row>
    <row r="33" ht="46.25" customHeight="1" s="11">
      <c r="A33" s="22" t="inlineStr">
        <is>
          <t>REQ-32</t>
        </is>
      </c>
      <c r="B33" s="22" t="inlineStr">
        <is>
          <t>3D-Zeitansicht: Zeit-Zoom und genaue Daten</t>
        </is>
      </c>
      <c r="C33" s="22" t="inlineStr">
        <is>
          <t>Erledigt</t>
        </is>
      </c>
      <c r="D33" s="22" t="inlineStr">
        <is>
          <t>2.1.0</t>
        </is>
      </c>
      <c r="E33" s="22" t="inlineStr">
        <is>
          <t>Dustin (Feedback)</t>
        </is>
      </c>
      <c r="F33" s="22" t="inlineStr">
        <is>
          <t>js/space3d.js: Dezimaljahr je Dokument (Feld tm, aus d/ds), Skala S3.zs/S3.z0 mit s3Scale()/s3Ticks(), Auswahl #s3Unit (index.html, css/space3d.css); Projektdateien als eigene Punkte (◆) statt Projekt-Balken. Hinweis: Viele Daten stammen aus dem Dateidatum (file_mtime, z. B. Kopierdatum) – im Tooltip als „uncertain“ markiert. Geprüft an der lokalen Instanz.</t>
        </is>
      </c>
    </row>
    <row r="34" ht="23.85" customHeight="1" s="11">
      <c r="A34" s="22" t="inlineStr">
        <is>
          <t>REQ-33</t>
        </is>
      </c>
      <c r="B34" s="22" t="inlineStr">
        <is>
          <t>Wissenskarte vergrößern</t>
        </is>
      </c>
      <c r="C34" s="22" t="inlineStr">
        <is>
          <t>Erledigt</t>
        </is>
      </c>
      <c r="D34" s="22" t="inlineStr">
        <is>
          <t>2.1.0</t>
        </is>
      </c>
      <c r="E34" s="22" t="inlineStr">
        <is>
          <t>Dustin (Feedback)</t>
        </is>
      </c>
      <c r="F34" s="22" t="inlineStr">
        <is>
          <t>Button #cgMax + Abdunklung #cgMaxScrim (index.html), Klasse .maxed (css/clusters.css), cgMax() in js/clusters.js. Geprüft an der lokalen Instanz: Zeichenfläche 2365×1191 px.</t>
        </is>
      </c>
    </row>
    <row r="35" ht="35.05" customHeight="1" s="11">
      <c r="A35" s="22" t="inlineStr">
        <is>
          <t>REQ-34</t>
        </is>
      </c>
      <c r="B35" s="22" t="inlineStr">
        <is>
          <t>Verschieben darf den Zeitstrahl nicht brechen</t>
        </is>
      </c>
      <c r="C35" s="22" t="inlineStr">
        <is>
          <t>Erledigt</t>
        </is>
      </c>
      <c r="D35" s="22" t="inlineStr">
        <is>
          <t>2.1.0</t>
        </is>
      </c>
      <c r="E35" s="22" t="inlineStr">
        <is>
          <t>Dustin (Feedback)</t>
        </is>
      </c>
      <c r="F35" s="22" t="inlineStr">
        <is>
          <t>mountGraph3D (js/clusters.js): keep() begrenzt x auf die Periodenspalte (±GAPX/2) und y auf das Cluster-Band – beim Ziehen und in der Kräfte-Simulation. Geprüft: C8 (before 2025) nach 40 Zügen nach rechts weiterhin in seiner Spalte.</t>
        </is>
      </c>
    </row>
    <row r="36" ht="35.05" customHeight="1" s="11">
      <c r="A36" s="22" t="inlineStr">
        <is>
          <t>REQ-35</t>
        </is>
      </c>
      <c r="B36" s="22" t="inlineStr">
        <is>
          <t>BIBO an den Research Papers und Zitationsnetz zwischen den Papers</t>
        </is>
      </c>
      <c r="C36" s="22" t="inlineStr">
        <is>
          <t>Erledigt</t>
        </is>
      </c>
      <c r="D36" s="22" t="inlineStr">
        <is>
          <t>2.2.0</t>
        </is>
      </c>
      <c r="E36" s="22" t="inlineStr">
        <is>
          <t>Sitzung 29.10.2026</t>
        </is>
      </c>
      <c r="F36" s="22" t="inlineStr">
        <is>
          <t>app/citations.py: Literaturverzeichnisse (deo:BibliographicReference, über Seitenkopfzeilen hinweg) mit den Research Papers der Sammlung abgeglichen – DOI oder Titel, bestätigt durch Erstautor:in und Jahr; ohne LLM, ohne neue Embeddings; nach jeder Ingestion automatisch. Payload cites/cited_by; Graph (:Document)-[:CITES]-&gt;(:Document) mit bibo:cites, bibo_type, author_list, AUTHORED.position; BIBO-Import per n10s. Anzeige „⇄ Citations“ in der Wissenskarte (js/citations.js), „Cites / Cited by“ in den Dokumentdetails, Kontext im Graph Chat. API GET /api/citations, POST /api/citations/rebuild; CLI ingest citations. Geprüft an 21 Papers (Aster, Jasmine, Peony): 7 von 7 Zitaten gefunden, kein Fehltreffer.</t>
        </is>
      </c>
    </row>
    <row r="37" ht="35.05" customHeight="1" s="11">
      <c r="A37" s="22" t="inlineStr">
        <is>
          <t>REQ-36</t>
        </is>
      </c>
      <c r="B37" s="22" t="inlineStr">
        <is>
          <t>Ontologie-Änderungen ohne Neu-Embedding übernehmen</t>
        </is>
      </c>
      <c r="C37" s="22" t="inlineStr">
        <is>
          <t>Offen</t>
        </is>
      </c>
      <c r="D37" s="22" t="inlineStr">
        <is>
          <t>2.2.0 (teilweise)</t>
        </is>
      </c>
      <c r="E37" s="22" t="inlineStr">
        <is>
          <t>Sitzung 29.10.2026</t>
        </is>
      </c>
      <c r="F37" s="22" t="inlineStr">
        <is>
          <t>Geklärt: Die Vektoren hängen nicht an DEO/Ontologie (eingebettet wird nur Chunk-Text plus Kopf mit Typ, Projekt, Datei, Rolle). Graph-Modell-Änderungen: POST /api/graph/setup + /api/graph/rebuild genügen. Umgesetzt nur für Literaturverzeichnisse (citations.rebuild setzt deo per set_payload). Offen: allgemeiner Befehl „relabel“ für geänderte DEO-Regeln ohne --force-Neueinlesen.</t>
        </is>
      </c>
    </row>
    <row r="38">
      <c r="A38" s="22" t="inlineStr">
        <is>
          <t>REQ-37</t>
        </is>
      </c>
      <c r="B38" s="22" t="inlineStr">
        <is>
          <t>Zeitliche Erweiterung nach SAT-Graph RAG (de Martim 2025)</t>
        </is>
      </c>
      <c r="C38" s="22" t="inlineStr">
        <is>
          <t>Erledigt</t>
        </is>
      </c>
      <c r="D38" s="22" t="inlineStr">
        <is>
          <t>3.0.0</t>
        </is>
      </c>
      <c r="E38" s="22" t="inlineStr">
        <is>
          <t>Sitzung 29.10.2026</t>
        </is>
      </c>
      <c r="F38" s="22" t="inlineStr">
        <is>
          <t>Für Rechtstexte umgesetzt: zeitlicher Planer (app/legal_time.py, regelbasiert) mit offengelegten Regeln current / point_in_time / snapshot_last (SnapshotLast) / stage / all_versions; Stichtag-Filter in Qdrant (valid_from ≤ t &lt; valid_to); Query Patterns des Papers: Stand zu einem Zeitpunkt (vollständiger Wortlaut über die Aggregation), Änderungen im Zeitraum, Herkunft eines Begriffs (app/legal_chat.py); Action-Knoten mit eingebettetem Beschreibungstext. Für Manuskriptversionen von Research Projects noch offen.</t>
        </is>
      </c>
    </row>
    <row r="39">
      <c r="A39" s="22" t="inlineStr">
        <is>
          <t>REQ-38</t>
        </is>
      </c>
      <c r="B39" s="22" t="inlineStr">
        <is>
          <t>Legal-Ontologie für Gesetze, Leitlinien und Standards; neue Dokumenttypen</t>
        </is>
      </c>
      <c r="C39" s="22" t="inlineStr">
        <is>
          <t>Erledigt</t>
        </is>
      </c>
      <c r="D39" s="22" t="inlineStr">
        <is>
          <t>3.0.0</t>
        </is>
      </c>
      <c r="E39" s="22" t="inlineStr">
        <is>
          <t>Sitzung 29.10.2026</t>
        </is>
      </c>
      <c r="F39" s="22" t="inlineStr">
        <is>
          <t>Dokumenttypen legal_project (Fassungen als Stufen, Upload als ZIP), legal_guideline, standard; app/legal.py: strukturbewusste Zerlegung (EU-Recht EN/DE, deutsche Gesetze, Standards, Leitlinien), Norm → Component → TemporalVersion (Aggregation, Wiederverwendung) → LanguageVersion → Text Unit, Actions; Graph an ELI ausgerichtet (eli:LegalResource, LegalResourceSubdivision, LegalExpression), ELI-Import; _legal.yaml; API /api/legal/*; Karte (▲), Dokumente, Dokumentdetails, Chats (⏱-Zeile, Tabellen), Stichtag-Feld. 17 neue Tests (test_legal.py) + Qdrant-Test für den Container.</t>
        </is>
      </c>
    </row>
    <row r="40">
      <c r="A40" s="22" t="inlineStr">
        <is>
          <t>REQ-39</t>
        </is>
      </c>
      <c r="B40" s="22" t="inlineStr">
        <is>
          <t>Datenbank „EU AI Act“ mit passender Blume</t>
        </is>
      </c>
      <c r="C40" s="22" t="inlineStr">
        <is>
          <t>Erledigt</t>
        </is>
      </c>
      <c r="D40" s="22" t="inlineStr">
        <is>
          <t>3.0.0</t>
        </is>
      </c>
      <c r="E40" s="22" t="inlineStr">
        <is>
          <t>Sitzung 29.10.2026</t>
        </is>
      </c>
      <c r="F40" s="22" t="inlineStr">
        <is>
          <t>Kürzel EUAIA, Anzeigename „EU AI Act“, Kornblume in EU-Blau (js/databases.js, css/base.css, config.py); Ordner research/EUAIA/ mit legal/EU-AI-Act/_legal.yaml (Vorschlag 2021, Verordnung (EU) 2024/1689, konsolidierte Fassung nach Verordnung (EU) 2026/1744) sowie guidelines/ und standards/. Hinweis: wer DATABASES in .env setzt, muss EUAIA ergänzen.</t>
        </is>
      </c>
    </row>
    <row r="41" s="11">
      <c r="A41" s="22" t="inlineStr">
        <is>
          <t>REQ-40</t>
        </is>
      </c>
      <c r="B41" s="22" t="inlineStr">
        <is>
          <t>Verwendete Ontologien korrekt zitierbar</t>
        </is>
      </c>
      <c r="C41" s="22" t="inlineStr">
        <is>
          <t>Erledigt</t>
        </is>
      </c>
      <c r="D41" s="22" t="inlineStr">
        <is>
          <t>3.0.0</t>
        </is>
      </c>
      <c r="E41" s="22" t="inlineStr">
        <is>
          <t>Sitzung 29.10.2026</t>
        </is>
      </c>
      <c r="F41" s="22" t="inlineStr">
        <is>
          <t>Beantwortet: DoCO, DEO, Pattern Ontology (Constantin et al. 2016), FaBiO und CiTO (Peroni &amp; Shotton 2012), BIBO (D’Arcus &amp; Giasson 2009), seit 3.0.0 ELI. Korrigiert: fabio:Note gibt es nicht → fabio:Expression; C4O aus der Doku entfernt (nie verwendet).</t>
        </is>
      </c>
    </row>
    <row r="42" s="11">
      <c r="A42" s="22" t="inlineStr">
        <is>
          <t>REQ-41</t>
        </is>
      </c>
      <c r="B42" s="22" t="inlineStr">
        <is>
          <t>Erstes Legal project einlesen: Kommissionsvorschlag AI Act (Hauptdokument + Anhänge)</t>
        </is>
      </c>
      <c r="C42" s="22" t="inlineStr">
        <is>
          <t>Erledigt</t>
        </is>
      </c>
      <c r="D42" s="22" t="inlineStr">
        <is>
          <t>3.0.1</t>
        </is>
      </c>
      <c r="E42" s="22" t="inlineStr">
        <is>
          <t>Sitzung 29.10.2026</t>
        </is>
      </c>
      <c r="F42" s="22" t="inlineStr">
        <is>
          <t>Dateien in research/EUAIA/legal/EU-AI-Act/ abgelegt, _legal.yaml mit file: [Hauptdokument, Anhänge] als eine Fassung. Parser für Kommissionsvorschläge erweitert (TITLE/CHAPTER, alle 9 Anhänge, Begriffsbestimmungen, Finanzbogen als Anlage, Seitenfüße „EN n EN“, umbrochene Verweise). Offline mit den echten PDFs geprüft: 85 Artikel, 89 Erwägungsgründe, 9 Anhänge, 699 Bestandteile, 889 Text Units. Rückfall auf den jüngsten Entwurf, wenn kein Gesetz gilt. Am 29.10.2026 per Docker eingelesen (mit -e OPENROUTER_API_KEY).</t>
        </is>
      </c>
    </row>
    <row r="43" s="11">
      <c r="A43" s="22" t="inlineStr">
        <is>
          <t>REQ-42</t>
        </is>
      </c>
      <c r="B43" s="22" t="inlineStr">
        <is>
          <t>Wissenskarte nach dem Einlesen korrekt: bestehende Cluster bleiben erhalten</t>
        </is>
      </c>
      <c r="C43" s="22" t="inlineStr">
        <is>
          <t>Erledigt</t>
        </is>
      </c>
      <c r="D43" s="22" t="inlineStr">
        <is>
          <t>3.0.2</t>
        </is>
      </c>
      <c r="E43" s="22" t="inlineStr">
        <is>
          <t>Sitzung 29.10.2026</t>
        </is>
      </c>
      <c r="F43" s="22" t="inlineStr">
        <is>
          <t>Ursache: automatisches Neu-Clustern nach der Ingestion lief über alle Datenbanken gemeinsam (k=3: 2× CNN_DM, 1× alle 74 Forschungswerke + AI Act) und überschrieb die Cluster je Datenbank. Jetzt nur die eingelesenen Datenbanken, jede für sich, mit ihrer bisherigen Einheit (Projekte/Projektdateien); Legal project als eine Einheit; Datenbank mit einem Werk bekommt einen Cluster; Projektbeschriftung überdeckt keine Paper mehr. Cluster der bestehenden Datenbanken einmalig neu berechnen (ingest cluster --db …, ML mit --files).</t>
        </is>
      </c>
    </row>
    <row r="44" s="11">
      <c r="A44" s="22" t="inlineStr">
        <is>
          <t>REQ-43</t>
        </is>
      </c>
      <c r="B44" s="22" t="inlineStr">
        <is>
          <t>Nächste Fassung des AI Act: Kompromissänderungen IMCO/LIBE (9.5.2023) als Teilfassung</t>
        </is>
      </c>
      <c r="C44" s="22" t="inlineStr">
        <is>
          <t>In Arbeit</t>
        </is>
      </c>
      <c r="D44" s="22" t="inlineStr">
        <is>
          <t>3.1.0</t>
        </is>
      </c>
      <c r="E44" s="22" t="inlineStr">
        <is>
          <t>Sitzung 29.10.2026</t>
        </is>
      </c>
      <c r="F44" s="22" t="inlineStr">
        <is>
          <t>Datei abgelegt, _legal.yaml: Fassung 2 von 4, Stufe „committee“, partial: true. Neu: Teilfassungen (merge_partial – fehlende Teile unverändert aus der Vorfassung, keine Streichungen), Stufe committee im Planer, Parser für Kompromissblöcke CA 1–12, Artikelnummern „54 a“/„28(a)“, Erwägungsgründe „(65a)“, Vergleich nur über Buchstaben/Ziffern (cmp_key). Offline geprüft: 104 Artikel (24 neu), 129 Erwägungsgründe, 0 gestrichen, kleinste Änderungen echt (250 000 → 750 000 EUR, user → deployer). Einlesen per Docker steht aus.</t>
        </is>
      </c>
    </row>
    <row r="45" s="11">
      <c r="A45" s="22" t="inlineStr">
        <is>
          <t>REQ-44</t>
        </is>
      </c>
      <c r="B45" s="22" t="inlineStr">
        <is>
          <t>Finale Fassung des AI Act: Verordnung (EU) 2024/1689 aus dem Amtsblatt</t>
        </is>
      </c>
      <c r="C45" s="22" t="inlineStr">
        <is>
          <t>In Arbeit</t>
        </is>
      </c>
      <c r="D45" s="22" t="inlineStr">
        <is>
          <t>3.1.1</t>
        </is>
      </c>
      <c r="E45" s="22" t="inlineStr">
        <is>
          <t>Sitzung 29.10.2026</t>
        </is>
      </c>
      <c r="F45" s="22" t="inlineStr">
        <is>
          <t>Datei als 2024-07-12_Regulation-2024-1689_OJ.pdf abgelegt (Fassung 3 von 4, Stufe adopted, in Kraft 1.8.2024, Anwendung nach Art. 113). Parser für Amtsblatt-PDFs korrigiert: Fußnoten nicht mehr als Erwägungsgründe (236 → 180), Abschnitte erhalten (8 → 16), Verweise in Anhängen keine Artikel (115 → 113); Anwendungsregel für Art. 101 schlägt Kapitel XII. Offline geprüft: Struktur exakt wie die Verordnung, Anwendungsdaten Art. 5, 6(1), 50, 53, 78, 99, 101 korrekt. Einlesen per Docker steht aus.</t>
        </is>
      </c>
    </row>
    <row r="46" s="11">
      <c r="A46" s="22" t="inlineStr">
        <is>
          <t>REQ-45</t>
        </is>
      </c>
      <c r="B46" s="22" t="inlineStr">
        <is>
          <t>Digital Omnibus on AI (Verordnung (EU) 2026/1744) im Projekt AI Act</t>
        </is>
      </c>
      <c r="C46" s="22" t="inlineStr">
        <is>
          <t>In Arbeit</t>
        </is>
      </c>
      <c r="D46" s="22" t="inlineStr">
        <is>
          <t>3.2.0</t>
        </is>
      </c>
      <c r="E46" s="22" t="inlineStr">
        <is>
          <t>Sitzung 29.10.2026</t>
        </is>
      </c>
      <c r="F46" s="22" t="inlineStr">
        <is>
          <t>Datei als 2026-07-24_Regulation-2026-1744_Digital-Omnibus_OJ.pdf abgelegt; _legal.yaml Fassung 4 (consolidated, in Kraft 27.7.2026, apply_amendments: Regulation (EU) 2024/1689, Anwendungsdaten des geänderten Art. 113). Neu: app/legal_amend.py wendet die 72 Änderungsbefehle auf Fassung 3 an – 63 exakt, 5 angenähert (erster Unterabsatz/Einleitung), 4 offen gemeldet (spätere Unterabsätze, Punkte in Anhängen); neue Art. 4a, 60a, 75a–75d, Anhang XIV; Bericht je Befehl in den Dokumentdetails. Einlesen per Docker steht aus.</t>
        </is>
      </c>
    </row>
    <row r="47" s="11">
      <c r="A47" s="22" t="inlineStr">
        <is>
          <t>REQ-46</t>
        </is>
      </c>
      <c r="B47" s="22" t="inlineStr">
        <is>
          <t>Legal guideline: Leitlinien der Kommission zur Definition eines KI-Systems (C(2025) 5053)</t>
        </is>
      </c>
      <c r="C47" s="22" t="inlineStr">
        <is>
          <t>In Arbeit</t>
        </is>
      </c>
      <c r="D47" s="22" t="inlineStr">
        <is>
          <t>3.2.1</t>
        </is>
      </c>
      <c r="E47" s="22" t="inlineStr">
        <is>
          <t>Sitzung 29.10.2026</t>
        </is>
      </c>
      <c r="F47" s="22" t="inlineStr">
        <is>
          <t>Datei und _legal.yaml in research/EUAIA/guidelines/ (Stufe published, gültig ab 29.7.2025). Parser für Kommissionsleitlinien: Abschnitte I.–III. (sec_II), Gliederung 1./5.1., Randnummern (1)–(64) als rn_n („Para. 13“), Fußnotenblöcke ausgelassen; ISO-Normen nicht betroffen. Offline geprüft: 3 Abschnitte, 9 Gliederungspunkte, 64 Randnummern, 138 Text Units. Einlesen per Docker steht aus.</t>
        </is>
      </c>
    </row>
    <row r="48" s="11">
      <c r="A48" s="22" t="inlineStr">
        <is>
          <t>REQ-47</t>
        </is>
      </c>
      <c r="B48" s="22" t="inlineStr">
        <is>
          <t>Zweite Legal guideline: Leitlinien der Kommission zu verbotenen KI-Praktiken (C(2025) 5052)</t>
        </is>
      </c>
      <c r="C48" s="22" t="inlineStr">
        <is>
          <t>In Arbeit</t>
        </is>
      </c>
      <c r="D48" s="22" t="inlineStr">
        <is>
          <t>3.2.2</t>
        </is>
      </c>
      <c r="E48" s="22" t="inlineStr">
        <is>
          <t>Sitzung 29.10.2026</t>
        </is>
      </c>
      <c r="F48" s="22" t="inlineStr">
        <is>
          <t>Datei in research/EUAIA/guidelines/, zweiter Eintrag in der _legal.yaml (published, gültig ab 29.7.2025). Parser: Inhaltsverzeichnis übersprungen, Gliederung und Randnummern müssen fortlaufen (Aufzählungen, zitierte Artikel, „(2022) doi:…“ bleiben Text), Überschriften mit Komma-Umbruch, Anführungszeichen oder Klammer. Offline geprüft: 114 Gliederungspunkte, 433 Randnummern lückenlos, keine Dubletten. Einlesen per Docker steht aus.</t>
        </is>
      </c>
    </row>
    <row r="49" s="11">
      <c r="A49" s="22" t="inlineStr">
        <is>
          <t>REQ-48</t>
        </is>
      </c>
      <c r="B49" s="22" t="inlineStr">
        <is>
          <t>Neue Dokumentklasse „Guidance &amp; FAQ“ für EU AI Act (erstes Dokument: AI Literacy – Questions &amp; Answers)</t>
        </is>
      </c>
      <c r="C49" s="22" t="inlineStr">
        <is>
          <t>In Arbeit</t>
        </is>
      </c>
      <c r="D49" s="22" t="inlineStr">
        <is>
          <t>3.3.0</t>
        </is>
      </c>
      <c r="E49" s="22" t="inlineStr">
        <is>
          <t>Sitzung 29.10.2026</t>
        </is>
      </c>
      <c r="F49" s="22" t="inlineStr">
        <is>
          <t>Neuer Typ guidance („Guidance &amp; FAQ“): Q&amp;A-Seiten, FAQs, Factsheets von Behörden ohne Aktenzeichen, unverbindlich – abgegrenzt von förmlichen Legal guidelines. Ordner research/&lt;DB&gt;/guidance/, CLI ingest guidance, Upload, Filter-Chip „FAQ“, ▲ olivgrün, fabio:WebPage/bibo:Webpage. Parser: Themen tp_n und Fragen q_n.m („Q 2.1“), Stufe snapshot für Webseitenstände. Erstes Dokument: AI Literacy Q&amp;A (digital-strategy.ec.europa.eu, Stand 29.10.2026): 5 Themen, 34 Fragen. UI im Mock geprüft. Einlesen per Docker steht aus.</t>
        </is>
      </c>
    </row>
    <row r="50" s="11">
      <c r="A50" s="22" t="inlineStr">
        <is>
          <t>REQ-49</t>
        </is>
      </c>
      <c r="B50" s="22" t="inlineStr">
        <is>
          <t>Erster Standard für „EU AI Act“ (in 3.7.0 wieder entfernt)</t>
        </is>
      </c>
      <c r="C50" s="22" t="inlineStr">
        <is>
          <t>Erledigt (erklärt)</t>
        </is>
      </c>
      <c r="D50" s="22" t="inlineStr">
        <is>
          <t>3.3.1</t>
        </is>
      </c>
      <c r="E50" s="22" t="inlineStr">
        <is>
          <t>Sitzung 29./30.10.2026</t>
        </is>
      </c>
      <c r="F50" s="22" t="inlineStr">
        <is>
          <t>Parser für Standards (Begriffe, Anhangstatus, Anhang-Gliederung) und das Entfernen von Lizenzstempeln aus PDFs bleiben; der Standard selbst und alle Verweise darauf wurden in 3.7.0 entfernt (REQ-60).</t>
        </is>
      </c>
    </row>
    <row r="51" s="11">
      <c r="A51" s="22" t="inlineStr">
        <is>
          <t>REQ-50</t>
        </is>
      </c>
      <c r="B51" s="22" t="inlineStr">
        <is>
          <t>Weiterer Standard: NIST SP 800-18 Rev. 2 (System plans)</t>
        </is>
      </c>
      <c r="C51" s="22" t="inlineStr">
        <is>
          <t>In Arbeit</t>
        </is>
      </c>
      <c r="D51" s="22" t="inlineStr">
        <is>
          <t>3.3.2</t>
        </is>
      </c>
      <c r="E51" s="22" t="inlineStr">
        <is>
          <t>Sitzung 30.10.2026</t>
        </is>
      </c>
      <c r="F51" s="22" t="inlineStr">
        <is>
          <t>Zweiter Eintrag in research/EUAIA/standards/_legal.yaml (published, Juni 2026; frei verfügbar). Parser: „Appendix A.“ als Anhang, „References“/„Bibliography“ als eigene Anlage. Offline geprüft: Abschnitte 1–4.7, References, Anhänge A–D. Einlesen per Docker steht aus.</t>
        </is>
      </c>
    </row>
    <row r="52" s="11">
      <c r="A52" s="22" t="inlineStr">
        <is>
          <t>REQ-51</t>
        </is>
      </c>
      <c r="B52" s="22" t="inlineStr">
        <is>
          <t>Weißbuch zur KI (COM(2020) 65) als White paper im Projekt EU AI Act</t>
        </is>
      </c>
      <c r="C52" s="22" t="inlineStr">
        <is>
          <t>In Arbeit</t>
        </is>
      </c>
      <c r="D52" s="22" t="inlineStr">
        <is>
          <t>3.4.0</t>
        </is>
      </c>
      <c r="E52" s="22" t="inlineStr">
        <is>
          <t>Sitzung 30.10.2026</t>
        </is>
      </c>
      <c r="F52" s="22" t="inlineStr">
        <is>
          <t>Datei im Legal project EU-AI-Act, Eintrag unter documents: in der _legal.yaml (Rolle white_paper, 19.2.2020). Neu: Projektrolle white_paper („White paper“, wird zusammengefasst), Abschnitt documents: für Begleitdokumente (Rolle, Datum, Titel; nie Fassung der Norm). Offline geprüft: Projekt mit 5 Dateien, Weißbuch mit Rolle und Datum. Einlesen per Docker steht aus.</t>
        </is>
      </c>
    </row>
    <row r="53" s="11">
      <c r="A53" s="22" t="inlineStr">
        <is>
          <t>REQ-52</t>
        </is>
      </c>
      <c r="B53" s="22" t="inlineStr">
        <is>
          <t>Nur „EU AI Act“ öffentlich; übrige Datenbanken erst nach Passwort neben dem OpenRouter-Key</t>
        </is>
      </c>
      <c r="C53" s="22" t="inlineStr">
        <is>
          <t>Erledigt</t>
        </is>
      </c>
      <c r="D53" s="22" t="inlineStr">
        <is>
          <t>3.5.0</t>
        </is>
      </c>
      <c r="E53" s="22" t="inlineStr">
        <is>
          <t>Sitzung 30.10.2026</t>
        </is>
      </c>
      <c r="F53" s="22" t="inlineStr">
        <is>
          <t>Frontend-Filter für alle Ansichten und Chat-Anfragen; Feld „Password“ + „Lock“. Nur Anzeige-Filter, kein API-Schutz. Benötigt Deploy (frontend).</t>
        </is>
      </c>
    </row>
    <row r="54" s="11">
      <c r="A54" s="22" t="inlineStr">
        <is>
          <t>REQ-53</t>
        </is>
      </c>
      <c r="B54" s="22" t="inlineStr">
        <is>
          <t>Drei Forschungsartikel für „EU AI Act“</t>
        </is>
      </c>
      <c r="C54" s="22" t="inlineStr">
        <is>
          <t>Offen</t>
        </is>
      </c>
      <c r="D54" s="22" t="inlineStr">
        <is>
          <t>–</t>
        </is>
      </c>
      <c r="E54" s="22" t="inlineStr">
        <is>
          <t>Sitzung 30.10.2026</t>
        </is>
      </c>
      <c r="F54" s="22" t="inlineStr">
        <is>
          <t>Zurückgezogen (verworfen); nichts geändert.</t>
        </is>
      </c>
    </row>
    <row r="55" s="11">
      <c r="A55" s="22" t="inlineStr">
        <is>
          <t>REQ-54</t>
        </is>
      </c>
      <c r="B55" s="22" t="inlineStr">
        <is>
          <t>Keine Möglichkeit, über das Interface neue Datenbanken anzulegen</t>
        </is>
      </c>
      <c r="C55" s="22" t="inlineStr">
        <is>
          <t>Erledigt</t>
        </is>
      </c>
      <c r="D55" s="22" t="inlineStr">
        <is>
          <t>3.5.1</t>
        </is>
      </c>
      <c r="E55" s="22" t="inlineStr">
        <is>
          <t>Sitzung 30.10.2026</t>
        </is>
      </c>
      <c r="F55" s="22" t="inlineStr">
        <is>
          <t>„+ Add new data“ in der Datenbankleiste entfernt; Upload über Documents bleibt.</t>
        </is>
      </c>
    </row>
    <row r="56" s="11">
      <c r="A56" s="22" t="inlineStr">
        <is>
          <t>REQ-55</t>
        </is>
      </c>
      <c r="B56" s="22" t="inlineStr">
        <is>
          <t>Neue Datenbank „Wachter“ mit zwei Papern</t>
        </is>
      </c>
      <c r="C56" s="22" t="inlineStr">
        <is>
          <t>In Arbeit</t>
        </is>
      </c>
      <c r="D56" s="22" t="inlineStr">
        <is>
          <t>3.6.0</t>
        </is>
      </c>
      <c r="E56" s="22" t="inlineStr">
        <is>
          <t>Sitzung 30.10.2026</t>
        </is>
      </c>
      <c r="F56" s="22" t="inlineStr">
        <is>
          <t>ID WACHTER; Paper in research/WACHTER/papers/ mit kuratierten Summaries; Einlesen per Docker ausstehend.</t>
        </is>
      </c>
    </row>
    <row r="57" s="11">
      <c r="A57" s="22" t="inlineStr">
        <is>
          <t>REQ-56</t>
        </is>
      </c>
      <c r="B57" s="22" t="inlineStr">
        <is>
          <t>Wachter ohne Passwort sichtbar wie EU AI Act</t>
        </is>
      </c>
      <c r="C57" s="22" t="inlineStr">
        <is>
          <t>Erledigt</t>
        </is>
      </c>
      <c r="D57" s="22" t="inlineStr">
        <is>
          <t>3.6.1</t>
        </is>
      </c>
      <c r="E57" s="22" t="inlineStr">
        <is>
          <t>Sitzung 30.10.2026</t>
        </is>
      </c>
      <c r="F57" s="22" t="inlineStr">
        <is>
          <t>PUBLIC_DBS = EUAIA, WACHTER.</t>
        </is>
      </c>
    </row>
    <row r="58" s="11">
      <c r="A58" s="22" t="inlineStr">
        <is>
          <t>REQ-57</t>
        </is>
      </c>
      <c r="B58" s="22" t="inlineStr">
        <is>
          <t>Reiter „ISO 42001/EUAIACT Docs“ und „Technical Documentation“ ohne Passwort ausblenden</t>
        </is>
      </c>
      <c r="C58" s="22" t="inlineStr">
        <is>
          <t>Erledigt</t>
        </is>
      </c>
      <c r="D58" s="22" t="inlineStr">
        <is>
          <t>3.6.2</t>
        </is>
      </c>
      <c r="E58" s="22" t="inlineStr">
        <is>
          <t>Sitzung 31.10.2026</t>
        </is>
      </c>
      <c r="F58" s="22" t="inlineStr">
        <is>
          <t>Wie die Datenbanken hinter dem Passwort (LOCKED_PAGES).</t>
        </is>
      </c>
    </row>
    <row r="59" s="11">
      <c r="A59" s="22" t="inlineStr">
        <is>
          <t>REQ-58</t>
        </is>
      </c>
      <c r="B59" s="22" t="inlineStr">
        <is>
          <t>Reiter „Release Notes“ ohne Passwort ausblenden</t>
        </is>
      </c>
      <c r="C59" s="22" t="inlineStr">
        <is>
          <t>Erledigt</t>
        </is>
      </c>
      <c r="D59" s="22" t="inlineStr">
        <is>
          <t>3.6.3</t>
        </is>
      </c>
      <c r="E59" s="22" t="inlineStr">
        <is>
          <t>Sitzung 31.10.2026</t>
        </is>
      </c>
      <c r="F59" s="22" t="inlineStr">
        <is>
          <t>Wie die Doku-Reiter hinter dem Passwort (LOCKED_PAGES).</t>
        </is>
      </c>
    </row>
    <row r="60" s="11">
      <c r="A60" s="22" t="inlineStr">
        <is>
          <t>REQ-59</t>
        </is>
      </c>
      <c r="B60" s="22" t="inlineStr">
        <is>
          <t>Cluster zweier Datenbanken vergleichen (Dropdown, Linien in der Karte), Graph Chat über Datenbanken hinweg in den Clustern</t>
        </is>
      </c>
      <c r="C60" s="22" t="inlineStr">
        <is>
          <t>Erledigt</t>
        </is>
      </c>
      <c r="D60" s="22" t="inlineStr">
        <is>
          <t>3.7.0</t>
        </is>
      </c>
      <c r="E60" s="22" t="inlineStr">
        <is>
          <t>Sitzung 31.10.2026</t>
        </is>
      </c>
      <c r="F60" s="22" t="inlineStr">
        <is>
          <t>Dropdown „Compare“, /api/clusters/relations, Graph Chat je Datenbank.</t>
        </is>
      </c>
    </row>
    <row r="61" s="11">
      <c r="A61" s="22" t="inlineStr">
        <is>
          <t>REQ-60</t>
        </is>
      </c>
      <c r="B61" s="22" t="inlineStr">
        <is>
          <t>Standard aus 3.3.1 vollständig entfernen</t>
        </is>
      </c>
      <c r="C61" s="22" t="inlineStr">
        <is>
          <t>Erledigt</t>
        </is>
      </c>
      <c r="D61" s="22" t="inlineStr">
        <is>
          <t>3.7.0</t>
        </is>
      </c>
      <c r="E61" s="22" t="inlineStr">
        <is>
          <t>Sitzung 31.10.2026</t>
        </is>
      </c>
      <c r="F61" s="22" t="inlineStr">
        <is>
          <t>Überall entfernt; Neo4j/Modellablage mit ingest delete --norm.</t>
        </is>
      </c>
    </row>
    <row r="62" s="11">
      <c r="A62" s="22" t="inlineStr">
        <is>
          <t>REQ-61</t>
        </is>
      </c>
      <c r="B62" s="22" t="inlineStr">
        <is>
          <t>Codebasis schrittweise refaktorieren</t>
        </is>
      </c>
      <c r="C62" s="22" t="inlineStr">
        <is>
          <t>In Arbeit</t>
        </is>
      </c>
      <c r="D62" s="22" t="inlineStr">
        <is>
          <t>3.7.0 –</t>
        </is>
      </c>
      <c r="E62" s="22" t="inlineStr">
        <is>
          <t>Sitzung 31.10.2026</t>
        </is>
      </c>
      <c r="F62" s="22" t="inlineStr">
        <is>
          <t>Stufe 0 erledigt; Plan in docs/technical/architecture.</t>
        </is>
      </c>
    </row>
    <row r="63" s="11">
      <c r="A63" s="22" t="inlineStr">
        <is>
          <t>REQ-62</t>
        </is>
      </c>
      <c r="B63" s="22" t="inlineStr">
        <is>
          <t>B-Seite: Datenbankleiste, „Window to the outside“ und B-Erklärung als drei Kästen nebeneinander</t>
        </is>
      </c>
      <c r="C63" s="22" t="inlineStr">
        <is>
          <t>Erledigt</t>
        </is>
      </c>
      <c r="D63" s="22" t="inlineStr">
        <is>
          <t>3.7.1</t>
        </is>
      </c>
      <c r="E63" s="22" t="inlineStr">
        <is>
          <t>Sitzung 31.10.2026</t>
        </is>
      </c>
      <c r="F63" s="22" t="inlineStr">
        <is>
          <t>.bar-row, #bTop nur auf B.</t>
        </is>
      </c>
    </row>
    <row r="64" s="11">
      <c r="A64" s="22" t="inlineStr">
        <is>
          <t>REQ-63</t>
        </is>
      </c>
      <c r="B64" s="22" t="inlineStr">
        <is>
          <t>B-Seite in drei Spalten; „Enlarge“ öffnet eigenes Fenster</t>
        </is>
      </c>
      <c r="C64" s="22" t="inlineStr">
        <is>
          <t>Erledigt</t>
        </is>
      </c>
      <c r="D64" s="22" t="inlineStr">
        <is>
          <t>3.7.2</t>
        </is>
      </c>
      <c r="E64" s="22" t="inlineStr">
        <is>
          <t>Sitzung 31.10.2026</t>
        </is>
      </c>
      <c r="F64" s="22" t="inlineStr">
        <is>
          <t>Grid map|cluster|chat; map-window.js.</t>
        </is>
      </c>
    </row>
    <row r="65" s="11">
      <c r="A65" s="22" t="inlineStr">
        <is>
          <t>REQ-64</t>
        </is>
      </c>
      <c r="B65" s="22" t="inlineStr">
        <is>
          <t>Größeres Eingabefeld in den Chats</t>
        </is>
      </c>
      <c r="C65" s="22" t="inlineStr">
        <is>
          <t>Erledigt</t>
        </is>
      </c>
      <c r="D65" s="22" t="inlineStr">
        <is>
          <t>3.7.3</t>
        </is>
      </c>
      <c r="E65" s="22" t="inlineStr">
        <is>
          <t>Sitzung 31.10.2026</t>
        </is>
      </c>
      <c r="F65" s="22" t="inlineStr">
        <is>
          <t>4 Zeilen, wachsend.</t>
        </is>
      </c>
    </row>
    <row r="66" s="11">
      <c r="A66" s="22" t="inlineStr">
        <is>
          <t>REQ-65</t>
        </is>
      </c>
      <c r="B66" s="22" t="inlineStr">
        <is>
          <t>Datenbankleiste so breit wie die Spalte der Wissenskarte</t>
        </is>
      </c>
      <c r="C66" s="22" t="inlineStr">
        <is>
          <t>Erledigt</t>
        </is>
      </c>
      <c r="D66" s="22" t="inlineStr">
        <is>
          <t>3.7.3</t>
        </is>
      </c>
      <c r="E66" s="22" t="inlineStr">
        <is>
          <t>Sitzung 31.10.2026</t>
        </is>
      </c>
      <c r="F66" s="22" t="inlineStr">
        <is>
          <t>.bar-row-Grid.</t>
        </is>
      </c>
    </row>
    <row r="67" s="11">
      <c r="A67" s="22" t="inlineStr">
        <is>
          <t>REQ-66</t>
        </is>
      </c>
      <c r="B67" s="22" t="inlineStr">
        <is>
          <t>Standard-OpenRouter-Key</t>
        </is>
      </c>
      <c r="C67" s="22" t="inlineStr">
        <is>
          <t>Offen</t>
        </is>
      </c>
      <c r="D67" s="22" t="inlineStr">
        <is>
          <t>–</t>
        </is>
      </c>
      <c r="E67" s="22" t="inlineStr">
        <is>
          <t>Sitzung 31.10.2026</t>
        </is>
      </c>
      <c r="F67" s="22" t="inlineStr">
        <is>
          <t>Zurückgezogen (verworfen); 3.8.0 zurückgenommen.</t>
        </is>
      </c>
    </row>
    <row r="68" s="11">
      <c r="A68" s="22" t="inlineStr">
        <is>
          <t>REQ-67</t>
        </is>
      </c>
      <c r="B68" s="22" t="inlineStr">
        <is>
          <t>Fragen zu Zusammenhängen auf der Wissenskarte; Textstellen über die Ontologie</t>
        </is>
      </c>
      <c r="C68" s="22" t="inlineStr">
        <is>
          <t>Erledigt</t>
        </is>
      </c>
      <c r="D68" s="22" t="inlineStr">
        <is>
          <t>3.9.0</t>
        </is>
      </c>
      <c r="E68" s="22" t="inlineStr">
        <is>
          <t>Sitzung 31.10.2026</t>
        </is>
      </c>
      <c r="F68" s="22" t="inlineStr">
        <is>
          <t>Cluster-Modus, Brücken-Stellen, Ontologie-Pfad.</t>
        </is>
      </c>
    </row>
    <row r="69">
      <c r="A69" s="22" t="inlineStr">
        <is>
          <t>REQ-68</t>
        </is>
      </c>
      <c r="B69" s="22" t="inlineStr">
        <is>
          <t>Kanten im Wissensgraphen von Papern zu den Bestimmungen, die sie diskutieren</t>
        </is>
      </c>
      <c r="C69" s="22" t="inlineStr">
        <is>
          <t>Erledigt</t>
        </is>
      </c>
      <c r="D69" s="22" t="inlineStr">
        <is>
          <t>3.10.0</t>
        </is>
      </c>
      <c r="E69" s="22" t="inlineStr">
        <is>
          <t>Sitzung 31.10.2026</t>
        </is>
      </c>
      <c r="F69" s="22" t="inlineStr">
        <is>
          <t>provisions.py: Verweise erkennen, Fassung bestimmen, auf geltende Nummern abbilden; DISCUSSES-Kanten, Graph Chat.</t>
        </is>
      </c>
    </row>
    <row r="70">
      <c r="A70" s="22" t="inlineStr">
        <is>
          <t>REQ-69</t>
        </is>
      </c>
      <c r="B70" s="22" t="inlineStr">
        <is>
          <t>Je Artikel eines Gesetzes anzeigen, welche Paper ihn diskutieren</t>
        </is>
      </c>
      <c r="C70" s="22" t="inlineStr">
        <is>
          <t>Erledigt</t>
        </is>
      </c>
      <c r="D70" s="22" t="inlineStr">
        <is>
          <t>3.11.0</t>
        </is>
      </c>
      <c r="E70" s="22" t="inlineStr">
        <is>
          <t>Sitzung 31.10.2026</t>
        </is>
      </c>
      <c r="F70" s="22" t="inlineStr">
        <is>
          <t>discussed_in, /api/legal/norms/{id}/discussed, Abschnitt „Discussed in papers“ mit Ask.</t>
        </is>
      </c>
    </row>
    <row r="71">
      <c r="A71" s="22" t="inlineStr">
        <is>
          <t>REQ-70</t>
        </is>
      </c>
      <c r="B71" s="22" t="inlineStr">
        <is>
          <t>Knopf „Guided tour“, der durch ALITA führt</t>
        </is>
      </c>
      <c r="C71" s="22" t="inlineStr">
        <is>
          <t>Erledigt</t>
        </is>
      </c>
      <c r="D71" s="22" t="inlineStr">
        <is>
          <t>3.12.0</t>
        </is>
      </c>
      <c r="E71" s="22" t="inlineStr">
        <is>
          <t>Sitzung 31.10.2026</t>
        </is>
      </c>
      <c r="F71" s="22" t="inlineStr">
        <is>
          <t>tour.js/tour.css: elf Schritte mit Hervorhebung und Beispielfragen für den Graph Chat.</t>
        </is>
      </c>
    </row>
    <row r="72">
      <c r="A72" s="22" t="inlineStr">
        <is>
          <t>REQ-71</t>
        </is>
      </c>
      <c r="B72" s="22" t="inlineStr">
        <is>
          <t>GitHub-Repository aktualisieren (alle Releases nach main)</t>
        </is>
      </c>
      <c r="C72" s="22" t="inlineStr">
        <is>
          <t>In Arbeit</t>
        </is>
      </c>
      <c r="D72" s="22" t="inlineStr">
        <is>
          <t>3.6.2 – 3.12.0</t>
        </is>
      </c>
      <c r="E72" s="22" t="inlineStr">
        <is>
          <t>Sitzung 31.10.2026</t>
        </is>
      </c>
      <c r="F72" s="22" t="inlineStr">
        <is>
          <t>PR #9 und #10 grün und mergebar; Merge durch Maintainer (#9 zuerst).</t>
        </is>
      </c>
    </row>
    <row r="73">
      <c r="A73" s="22" t="inlineStr">
        <is>
          <t>REQ-72</t>
        </is>
      </c>
      <c r="B73" s="22" t="inlineStr">
        <is>
          <t>MIT-Lizenz ergänzen</t>
        </is>
      </c>
      <c r="C73" s="22" t="inlineStr">
        <is>
          <t>Erledigt</t>
        </is>
      </c>
      <c r="D73" s="22" t="inlineStr">
        <is>
          <t>Unreleased</t>
        </is>
      </c>
      <c r="E73" s="22" t="inlineStr">
        <is>
          <t>Sitzung 31.10.2026</t>
        </is>
      </c>
      <c r="F73" s="22" t="inlineStr">
        <is>
          <t>LICENSE (MIT), Abschnitt „Lizenz“ im README; im PR #10.</t>
        </is>
      </c>
    </row>
  </sheetData>
  <autoFilter ref="A1:F35"/>
  <conditionalFormatting sqref="C2:C35">
    <cfRule type="expression" rank="0" priority="2" equalAverage="0" aboveAverage="0" dxfId="6" text="" percent="0" bottom="0">
      <formula>LEFT($C2,8)="Erledigt"</formula>
    </cfRule>
    <cfRule type="expression" rank="0" priority="3" equalAverage="0" aboveAverage="0" dxfId="7" text="" percent="0" bottom="0">
      <formula>OR(LEFT($C2,10)="Abweichung",LEFT($C2,11)="Platzhalter",LEFT($C2,9)="Teilweise")</formula>
    </cfRule>
    <cfRule type="expression" rank="0" priority="4" equalAverage="0" aboveAverage="0" dxfId="8" text="" percent="0" bottom="0">
      <formula>LEFT($C2,7)="Ersetzt"</formula>
    </cfRule>
  </conditionalFormatting>
  <dataValidations count="1">
    <dataValidation sqref="C2:C200" showDropDown="0" showInputMessage="0" showErrorMessage="0" allowBlank="1" type="list" errorStyle="stop" operator="between">
      <formula1>"Erledigt,Erledigt (erklärt),Erledigt (Layout geändert),Erledigt – offene Punkte,Erledigt – Teamdaten fehlen,Abweichung,Platzhalter,Teilweise – niedrige Priorität,Ersetzt durch REQ-28,Offen,In Arbeit"</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5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9" customWidth="1" style="10" min="1" max="1"/>
    <col width="12" customWidth="1" style="10" min="2" max="2"/>
    <col width="9" customWidth="1" style="10" min="3" max="3"/>
    <col width="45" customWidth="1" style="10" min="4" max="4"/>
    <col width="55" customWidth="1" style="10" min="5" max="6"/>
    <col width="24" customWidth="1" style="10" min="7" max="7"/>
    <col width="10" customWidth="1" style="10" min="8" max="8"/>
    <col width="12" customWidth="1" style="10" min="9" max="9"/>
    <col width="60" customWidth="1" style="10" min="10" max="10"/>
  </cols>
  <sheetData>
    <row r="1" ht="30" customHeight="1" s="11">
      <c r="A1" s="20" t="inlineStr">
        <is>
          <t>ID</t>
        </is>
      </c>
      <c r="B1" s="20" t="inlineStr">
        <is>
          <t>Datum</t>
        </is>
      </c>
      <c r="C1" s="20" t="inlineStr">
        <is>
          <t>Version</t>
        </is>
      </c>
      <c r="D1" s="20" t="inlineStr">
        <is>
          <t>Ursprüngliche Anfrage (wörtlich)</t>
        </is>
      </c>
      <c r="E1" s="20" t="inlineStr">
        <is>
          <t>Als Requirement formuliert</t>
        </is>
      </c>
      <c r="F1" s="20" t="inlineStr">
        <is>
          <t>Akzeptanzkriterium</t>
        </is>
      </c>
      <c r="G1" s="20" t="inlineStr">
        <is>
          <t>Bereich</t>
        </is>
      </c>
      <c r="H1" s="20" t="inlineStr">
        <is>
          <t>Priorität</t>
        </is>
      </c>
      <c r="I1" s="20" t="inlineStr">
        <is>
          <t>Status</t>
        </is>
      </c>
      <c r="J1" s="20" t="inlineStr">
        <is>
          <t>Umsetzung / Bemerkung</t>
        </is>
      </c>
    </row>
    <row r="2" ht="35.05" customHeight="1" s="11">
      <c r="A2" s="22" t="inlineStr">
        <is>
          <t>REQ-22</t>
        </is>
      </c>
      <c r="B2" s="22" t="inlineStr">
        <is>
          <t>2026-10-17</t>
        </is>
      </c>
      <c r="C2" s="22" t="inlineStr">
        <is>
          <t>2.1.0</t>
        </is>
      </c>
      <c r="D2" s="22" t="inlineStr">
        <is>
          <t>Ich möchte nun dass das Webinterface von ALITA die volle Bildschirmbreite nutzt.</t>
        </is>
      </c>
      <c r="E2" s="22" t="inlineStr">
        <is>
          <t>Das Webinterface MUSS die gesamte verfügbare Breite des Browserfensters nutzen; es DARF keine feste Maximalbreite mit leeren Seitenrändern geben.</t>
        </is>
      </c>
      <c r="F2" s="22" t="inlineStr">
        <is>
          <t>Bei Fensterbreiten über 1600 px (z. B. 2560 px) reichen Kopfzeile, Datenbank-Balken und alle Seiten bis an den Fensterrand (abzüglich des normalen Innenabstands von 16 px).</t>
        </is>
      </c>
      <c r="G2" s="22" t="inlineStr">
        <is>
          <t>Frontend · Layout (alle Seiten)</t>
        </is>
      </c>
      <c r="H2" s="22" t="inlineStr">
        <is>
          <t>Mittel</t>
        </is>
      </c>
      <c r="I2" s="22" t="inlineStr">
        <is>
          <t>Erledigt</t>
        </is>
      </c>
      <c r="J2" s="22" t="inlineStr">
        <is>
          <t>max-width:1600px der Seiten-Hülle (.app in css/base.css) entfernt. Nur Frontend – Browser-Reload genügt.</t>
        </is>
      </c>
    </row>
    <row r="3" ht="46.25" customHeight="1" s="11">
      <c r="A3" s="22" t="inlineStr">
        <is>
          <t>REQ-23</t>
        </is>
      </c>
      <c r="B3" s="22" t="inlineStr">
        <is>
          <t>2026-10-17</t>
        </is>
      </c>
      <c r="C3" s="22" t="inlineStr">
        <is>
          <t>2.1.0</t>
        </is>
      </c>
      <c r="D3" s="22" t="inlineStr">
        <is>
          <t>Mach diesen Teil direkt unter den Datenbanken-Balken: [Screenshot der Erklärung „B searches the knowledge graph …“]</t>
        </is>
      </c>
      <c r="E3" s="22" t="inlineStr">
        <is>
          <t>Im B Interaction Interface MUSS die Erklärung zum Graph Chat („B searches the knowledge graph …“) direkt unterhalb des Datenbank-Balkens über die volle Breite angezeigt werden, nicht innerhalb des Chat-Bereichs.</t>
        </is>
      </c>
      <c r="F3" s="22" t="inlineStr">
        <is>
          <t>Auf der Seite B Interaction Interface steht die Erklärung als erste Zeile unter dem Datenbank-Balken, oberhalb der vier Bereiche; der Chat-Bereich enthält sie nicht mehr; der ALITA-Klick auf das „i“ funktioniert weiter.</t>
        </is>
      </c>
      <c r="G3" s="22" t="inlineStr">
        <is>
          <t>Frontend · B Interaction Interface</t>
        </is>
      </c>
      <c r="H3" s="22" t="inlineStr">
        <is>
          <t>Mittel</t>
        </is>
      </c>
      <c r="I3" s="22" t="inlineStr">
        <is>
          <t>Erledigt</t>
        </is>
      </c>
      <c r="J3" s="22" t="inlineStr">
        <is>
          <t>Element aus #bTileSlot an den Anfang von #page-graph verschoben (index.html), Abstand in css/tiles.css. Die Kartenhöhe passt sich automatisch an (fitBPage).</t>
        </is>
      </c>
    </row>
    <row r="4" ht="68.65000000000001" customHeight="1" s="11">
      <c r="A4" s="22" t="inlineStr">
        <is>
          <t>REQ-24</t>
        </is>
      </c>
      <c r="B4" s="22" t="inlineStr">
        <is>
          <t>2026-10-17</t>
        </is>
      </c>
      <c r="C4" s="22" t="inlineStr">
        <is>
          <t>2.1.0</t>
        </is>
      </c>
      <c r="D4" s="22" t="inlineStr">
        <is>
          <t>Das Fenster unten soll nur als Button verfügbar sein. Mach das vielleicht unter Databases neben dem „B searches the knowledge graph“ hin, stattdessen dann links unten Chatfenster und ganze rechte Seite Projects and Clusters.</t>
        </is>
      </c>
      <c r="E4" s="22" t="inlineStr">
        <is>
          <t>Im B Interaction Interface MUSS das „Window to the outside“ ausschließlich über einen Button erreichbar sein, der neben der Erklärung „B searches the knowledge graph“ unter dem Datenbank-Balken sitzt. Das Layout MUSS lauten: Wissenskarte links oben, Graph Chat links unten, „Projects &amp; clusters“ über die gesamte rechte Seite.</t>
        </is>
      </c>
      <c r="F4" s="22" t="inlineStr">
        <is>
          <t>Kein festes „Window to the outside“-Feld mehr im Raster; Klick auf den Button öffnet es als Fenster, ✕/Esc/Klick daneben schließt es. Rechte Spalte = Projects &amp; clusters über volle Höhe, links Karte oben und Chat unten. Auf schmalen Bildschirmen untereinander: Karte, Projects &amp; clusters, Chat.</t>
        </is>
      </c>
      <c r="G4" s="22" t="inlineStr">
        <is>
          <t>Frontend · B Interaction Interface</t>
        </is>
      </c>
      <c r="H4" s="22" t="inlineStr">
        <is>
          <t>Mittel</t>
        </is>
      </c>
      <c r="I4" s="22" t="inlineStr">
        <is>
          <t>Erledigt</t>
        </is>
      </c>
      <c r="J4" s="22" t="inlineStr">
        <is>
          <t>Raster auf "map cluster" / "chat cluster" umgestellt (css/clusters.css); Button #bOutsideBtn + Pop-up mit Abdunklung (index.html, css/tiles.css, js/clusters.js); ALITA-Tour zeigt auf den Button. Ändert die Aufteilung aus REQ-01.</t>
        </is>
      </c>
    </row>
    <row r="5" ht="46.25" customHeight="1" s="11">
      <c r="A5" s="22" t="inlineStr">
        <is>
          <t>REQ-25</t>
        </is>
      </c>
      <c r="B5" s="22" t="inlineStr">
        <is>
          <t>2026-10-17</t>
        </is>
      </c>
      <c r="C5" s="22" t="inlineStr">
        <is>
          <t>2.1.0</t>
        </is>
      </c>
      <c r="D5" s="22" t="inlineStr">
        <is>
          <t>Lass es als die Animation wie vorher, aber kleiner und links. [Screenshot des Buttons „Window to the outside“]</t>
        </is>
      </c>
      <c r="E5" s="22" t="inlineStr">
        <is>
          <t>Der Button „Window to the outside“ MUSS die animierte Wüsten-Baustelle des bisherigen Fensters als verkleinerte Vorschau zeigen und links neben der Erklärung „B searches the knowledge graph“ stehen.</t>
        </is>
      </c>
      <c r="F5" s="22" t="inlineStr">
        <is>
          <t>Unter dem Datenbank-Balken steht ganz links eine kleine, laufende Animation (Bagger, Schild, Absperrung) mit der Beschriftung „Window to the outside“, rechts daneben die B-Erklärung; Klick öffnet weiterhin das große Fenster.</t>
        </is>
      </c>
      <c r="G5" s="22" t="inlineStr">
        <is>
          <t>Frontend · B Interaction Interface</t>
        </is>
      </c>
      <c r="H5" s="22" t="inlineStr">
        <is>
          <t>Niedrig</t>
        </is>
      </c>
      <c r="I5" s="22" t="inlineStr">
        <is>
          <t>Erledigt</t>
        </is>
      </c>
      <c r="J5" s="22" t="inlineStr">
        <is>
          <t>Animation wird beim Laden aus dem Fenster kopiert (eigene IDs, Ausschnitt auf den Bagger), Button 240×64 px links (css/tiles.css, js/clusters.js). Ergänzt REQ-24.</t>
        </is>
      </c>
    </row>
    <row r="6" ht="46.25" customHeight="1" s="11">
      <c r="A6" s="22" t="inlineStr">
        <is>
          <t>REQ-26</t>
        </is>
      </c>
      <c r="B6" s="22" t="inlineStr">
        <is>
          <t>2026-10-17</t>
        </is>
      </c>
      <c r="C6" s="22" t="inlineStr">
        <is>
          <t>2.1.0</t>
        </is>
      </c>
      <c r="D6" s="22" t="inlineStr">
        <is>
          <t>Stretch this to the whole Kachel. [Screenshot der Wissenskarte, die nur die Mitte der Kachel nutzt]</t>
        </is>
      </c>
      <c r="E6" s="22" t="inlineStr">
        <is>
          <t>Die 3D-Wissenskarte im B Interaction Interface MUSS die gesamte Breite ihrer Kachel nutzen; Perioden, Projekte und Cluster SOLLEN sich horizontal über die verfügbare Breite verteilen.</t>
        </is>
      </c>
      <c r="F6" s="22" t="inlineStr">
        <is>
          <t>Bei breiter Kachel (z. B. 1800 px) reichen Projekt-Ebene, Cluster und Dokumente fast bis an den linken und rechten Rand; bei Änderung der Fensterbreite wird die Karte neu verteilt; nichts wird abgeschnitten.</t>
        </is>
      </c>
      <c r="G6" s="22" t="inlineStr">
        <is>
          <t>Frontend · Wissenskarte (B)</t>
        </is>
      </c>
      <c r="H6" s="22" t="inlineStr">
        <is>
          <t>Mittel</t>
        </is>
      </c>
      <c r="I6" s="22" t="inlineStr">
        <is>
          <t>Erledigt</t>
        </is>
      </c>
      <c r="J6" s="22" t="inlineStr">
        <is>
          <t>mountGraph3D (js/clusters.js): Periodenabstand, Projektbreite und Cluster-Streuung aus Kachelbreite/Höhe berechnet; Neu-Layout bei Breitenänderung. Geprüft an der laufenden Instanz (1173 px und 1823 px breite Kachel).</t>
        </is>
      </c>
    </row>
    <row r="7" ht="46.25" customHeight="1" s="11">
      <c r="A7" s="22" t="inlineStr">
        <is>
          <t>REQ-27</t>
        </is>
      </c>
      <c r="B7" s="22" t="inlineStr">
        <is>
          <t>2026-10-17</t>
        </is>
      </c>
      <c r="C7" s="22" t="inlineStr">
        <is>
          <t>2.1.0</t>
        </is>
      </c>
      <c r="D7" s="22" t="inlineStr">
        <is>
          <t>OK, also eigentlich soll das Chatfenster schmaler und komplett von links nach rechts gehen.</t>
        </is>
      </c>
      <c r="E7" s="22" t="inlineStr">
        <is>
          <t>Der Graph Chat im B Interaction Interface MUSS als Streifen über die gesamte Breite unter Wissenskarte und „Projects &amp; clusters“ liegen und SOLL weniger hoch sein als die obere Reihe.</t>
        </is>
      </c>
      <c r="F7" s="22" t="inlineStr">
        <is>
          <t>Obere Reihe: Wissenskarte links, Projects &amp; clusters rechts; untere Reihe: Chat von linkem bis rechtem Rand, Höhe ca. 1/3 des Rasters; Antworten links, Eingabe rechts bleiben erhalten (REQ-13).</t>
        </is>
      </c>
      <c r="G7" s="22" t="inlineStr">
        <is>
          <t>Frontend · B Interaction Interface</t>
        </is>
      </c>
      <c r="H7" s="22" t="inlineStr">
        <is>
          <t>Mittel</t>
        </is>
      </c>
      <c r="I7" s="22" t="inlineStr">
        <is>
          <t>Ersetzt</t>
        </is>
      </c>
      <c r="J7" s="22" t="inlineStr">
        <is>
          <t>Raster auf "map cluster" / "chat chat", Zeilen 1.7fr / 1fr (css/clusters.css). Ersetzt die Aufteilung „Projects &amp; clusters über die ganze rechte Seite“ aus REQ-24. → Am selben Tag durch REQ-28 ersetzt.</t>
        </is>
      </c>
    </row>
    <row r="8" ht="46.25" customHeight="1" s="11">
      <c r="A8" s="22" t="inlineStr">
        <is>
          <t>REQ-28</t>
        </is>
      </c>
      <c r="B8" s="22" t="inlineStr">
        <is>
          <t>2026-10-17</t>
        </is>
      </c>
      <c r="C8" s="22" t="inlineStr">
        <is>
          <t>2.1.0</t>
        </is>
      </c>
      <c r="D8" s="22" t="inlineStr">
        <is>
          <t>OK nee, links nur die Map und rechts 1/3 Chatfenster und Rest Projects und Clusters.</t>
        </is>
      </c>
      <c r="E8" s="22" t="inlineStr">
        <is>
          <t>Im B Interaction Interface MUSS die Wissenskarte die gesamte linke Hälfte über die volle Höhe einnehmen; rechts MÜSSEN „Projects &amp; clusters“ (oben, ca. 2/3 der Höhe) und der Graph Chat (unten, ca. 1/3 der Höhe) liegen.</t>
        </is>
      </c>
      <c r="F8" s="22" t="inlineStr">
        <is>
          <t>Links nur die Karte, deren Zeichenfläche die Kachel ausfüllt; rechts oben Projects &amp; clusters, rechts unten der Chat mit sichtbarer Eingabe und Senden-Button; Verhältnis rechts ca. 2:1.</t>
        </is>
      </c>
      <c r="G8" s="22" t="inlineStr">
        <is>
          <t>Frontend · B Interaction Interface</t>
        </is>
      </c>
      <c r="H8" s="22" t="inlineStr">
        <is>
          <t>Mittel</t>
        </is>
      </c>
      <c r="I8" s="22" t="inlineStr">
        <is>
          <t>Erledigt</t>
        </is>
      </c>
      <c r="J8" s="22" t="inlineStr">
        <is>
          <t>Raster "map cluster" / "map chat", Zeilen 2fr / 1fr (css/clusters.css); Höhenbegrenzung der Karte von 720 px auf 1600 px angehoben (js/clusters.js). Geprüft an der laufenden Instanz bei 2400×1300.</t>
        </is>
      </c>
    </row>
    <row r="9" ht="57.45" customHeight="1" s="11">
      <c r="A9" s="22" t="inlineStr">
        <is>
          <t>REQ-29</t>
        </is>
      </c>
      <c r="B9" s="22" t="inlineStr">
        <is>
          <t>2026-10-17</t>
        </is>
      </c>
      <c r="C9" s="22" t="inlineStr">
        <is>
          <t>2.1.0</t>
        </is>
      </c>
      <c r="D9" s="22" t="inlineStr">
        <is>
          <t>Natürlich soll dann der Graph auch voll ausfüllen, ne. [Screenshot: Karte nutzt die Höhe der Kachel nicht]</t>
        </is>
      </c>
      <c r="E9" s="22" t="inlineStr">
        <is>
          <t>Die Wissenskarte MUSS ihre Kachel in Breite UND Höhe ausfüllen; die drei Ebenen (Projekte &amp; Paper, semantische Cluster, Dokumente) SOLLEN sich über die verfügbare Höhe verteilen, ohne leere Flächen oben oder unten.</t>
        </is>
      </c>
      <c r="F9" s="22" t="inlineStr">
        <is>
          <t>Bei einer hohen Kachel (z. B. 1820×1290 px) reichen die Elemente fast von oben bis unten und von links bis rechts; der Dokumenten-Streifen ist nur so hoch wie seine Zeilen; nach Größenänderung wird neu eingepasst; eigener Zoom bleibt bis zur nächsten Größenänderung oder „Reset view“.</t>
        </is>
      </c>
      <c r="G9" s="22" t="inlineStr">
        <is>
          <t>Frontend · Wissenskarte (B)</t>
        </is>
      </c>
      <c r="H9" s="22" t="inlineStr">
        <is>
          <t>Mittel</t>
        </is>
      </c>
      <c r="I9" s="22" t="inlineStr">
        <is>
          <t>Erledigt</t>
        </is>
      </c>
      <c r="J9" s="22" t="inlineStr">
        <is>
          <t>Vertikale Streckung KY aus dem Seitenverhältnis, Dokumenten-Streifen nach Zeilenzahl, automatisches Einpassen der Kamera (js/clusters.js). Geprüft an der laufenden Instanz: 1823×1294 → Elemente x 118–1738, y 161–1269.</t>
        </is>
      </c>
    </row>
    <row r="10" ht="46.25" customHeight="1" s="11">
      <c r="A10" s="22" t="inlineStr">
        <is>
          <t>REQ-30</t>
        </is>
      </c>
      <c r="B10" s="22" t="inlineStr">
        <is>
          <t>2026-10-17</t>
        </is>
      </c>
      <c r="C10" s="22" t="inlineStr">
        <is>
          <t>2.1.0</t>
        </is>
      </c>
      <c r="D10" s="22" t="inlineStr">
        <is>
          <t>Refactor.</t>
        </is>
      </c>
      <c r="E10" s="22" t="inlineStr">
        <is>
          <t>Der in dieser Sitzung ergänzte Frontend-Code SOLL ohne Änderung des Verhaltens aufgeräumt werden: Layout-Berechnung und Kamera-Einpassung als eigene, dokumentierte Funktionen, „Window to the outside“ in einer eigenen Datei.</t>
        </is>
      </c>
      <c r="F10" s="22" t="inlineStr">
        <is>
          <t>Gleiches Verhalten wie vorher (Karte füllt die Kachel, Pop-up öffnet/schließt, Mini-Animation sichtbar), keine Konsolenfehler; Code in v3BLayout, v3FitCam, onBResize und js/outside.js.</t>
        </is>
      </c>
      <c r="G10" s="22" t="inlineStr">
        <is>
          <t>Frontend · Code-Qualität</t>
        </is>
      </c>
      <c r="H10" s="22" t="inlineStr">
        <is>
          <t>Niedrig</t>
        </is>
      </c>
      <c r="I10" s="22" t="inlineStr">
        <is>
          <t>Erledigt</t>
        </is>
      </c>
      <c r="J10" s="22" t="inlineStr">
        <is>
          <t>js/clusters.js: v3BLayout(), v3FitCam(), onBResize(); neu js/outside.js (in index.html eingebunden, vom Artefakt-Build automatisch übernommen). Im Browser an der laufenden Instanz geprüft.</t>
        </is>
      </c>
    </row>
    <row r="11" ht="57.45" customHeight="1" s="11">
      <c r="A11" s="22" t="inlineStr">
        <is>
          <t>REQ-31</t>
        </is>
      </c>
      <c r="B11" s="22" t="inlineStr">
        <is>
          <t>2026-10-17</t>
        </is>
      </c>
      <c r="C11" s="22" t="inlineStr">
        <is>
          <t>2.1.0</t>
        </is>
      </c>
      <c r="D11" s="22" t="inlineStr">
        <is>
          <t>Lös das Problem. [Screenshot von Dustin, 15.10.: „Das Hovern zur Auswahl der Cluster funktioniert, das Klicken aber nicht. C6 ist ausgewählt, C7 wird angezeigt“]</t>
        </is>
      </c>
      <c r="E11" s="22" t="inlineStr">
        <is>
          <t>In der 3D-·-Zeit-Ansicht MUSS ein Klick auf einen Cluster – im Raum oder unter „Connected clusters“ in der Beschreibung – genau diesen Cluster auswählen und seine Beschreibung unten festhalten. Das Loslassen nach dem Drehen DARF die Auswahl NICHT verändern.</t>
        </is>
      </c>
      <c r="F11" s="22" t="inlineStr">
        <is>
          <t>Klick auf C6 (im Raum oder als Connected cluster unter C7) → unten steht C6, festgehalten; erneuter Klick oder ✕ gibt frei; Drehen per Ziehen ändert nichts; Hover zeigt weiterhin die Vorschau, solange nichts festgehalten ist.</t>
        </is>
      </c>
      <c r="G11" s="22" t="inlineStr">
        <is>
          <t>Frontend · 3D-·-Zeit-Ansicht</t>
        </is>
      </c>
      <c r="H11" s="22" t="inlineStr">
        <is>
          <t>Hoch</t>
        </is>
      </c>
      <c r="I11" s="22" t="inlineStr">
        <is>
          <t>Erledigt</t>
        </is>
      </c>
      <c r="J11" s="22" t="inlineStr">
        <is>
          <t>Connected-cluster-Buttons schalten die Beschreibung um und halten sie fest (cpWireConn); Klick nimmt den Cluster unter dem Mauszeiger (S3.clusterAt) statt des zuletzt gehoverten; Ziehen wird über S3.lastMoved erkannt. Dateien: js/space3d.js, js/cluster-profile.js. Auf alita.prodigi-marburg.de muss das Frontend neu ausgeliefert werden.</t>
        </is>
      </c>
    </row>
    <row r="12" ht="91" customHeight="1" s="11">
      <c r="A12" s="22" t="inlineStr">
        <is>
          <t>REQ-32</t>
        </is>
      </c>
      <c r="B12" s="22" t="inlineStr">
        <is>
          <t>2026-10-17</t>
        </is>
      </c>
      <c r="C12" s="22" t="inlineStr">
        <is>
          <t>2.1.0</t>
        </is>
      </c>
      <c r="D12" s="22" t="inlineStr">
        <is>
          <t>[Nachricht von Dustin mit Screenshot] Bei der 3D-Ansicht wäre es vielleicht noch hilfreich, wenn die Zeitraumbeschränkung auch mit einem Zoom in dem Zeitraum verbunden ist. Mit anderen Worten: Ich kann aktuell nicht unterscheiden, an welchem Zeitpunkt die jeweiligen Dokumente erstellt wurden. Ich prüfe gleich nochmal, ob alles am gleichen Tag, Woche, Monat gemacht wurde.</t>
        </is>
      </c>
      <c r="E12" s="22" t="inlineStr">
        <is>
          <t>In der 3D-·-Zeit-Ansicht MUSS jedes Dokument an seinem genauen Datum (nicht nur am Jahr) stehen. Eine Einschränkung des Zeitraums MUSS die Zeitachse vergrößern (Jahre → Monate); feinere Skalen (Wochen, Tage) SOLLEN wählbar sein. Der Tooltip MUSS das Datum und seine Herkunft zeigen. Projektdateien DÜRFEN NICHT gemeinsam am Projektbeginn stehen.</t>
        </is>
      </c>
      <c r="F12" s="22" t="inlineStr">
        <is>
          <t>Zeitraum auf ein Jahr → Monatsebenen (Jan … Dez) sichtbar, Dokumente verschiedener Tage stehen an verschiedenen Tiefen; „Scale“ Weeks/Days zeigt Wochen-/Tagesebenen; Tooltip z. B. „📅 07.02.2021 · date: file properties“; Magnolia 2021: 22 Projektdateien an 21 verschiedenen Tiefen (vorher alle in einer Reihe); Klick auf eine Projektdatei öffnet sie.</t>
        </is>
      </c>
      <c r="G12" s="22" t="inlineStr">
        <is>
          <t>Frontend · 3D-·-Zeit-Ansicht</t>
        </is>
      </c>
      <c r="H12" s="22" t="inlineStr">
        <is>
          <t>Hoch</t>
        </is>
      </c>
      <c r="I12" s="22" t="inlineStr">
        <is>
          <t>Erledigt</t>
        </is>
      </c>
      <c r="J12" s="22" t="inlineStr">
        <is>
          <t>js/space3d.js: Dezimaljahr je Dokument (Feld tm, aus d/ds), Skala S3.zs/S3.z0 mit s3Scale()/s3Ticks(), Auswahl #s3Unit (index.html, css/space3d.css); Projektdateien als eigene Punkte (◆) statt Projekt-Balken. Hinweis: Viele Daten stammen aus dem Dateidatum (file_mtime, z. B. Kopierdatum) – im Tooltip als „uncertain“ markiert. Geprüft an der lokalen Instanz.</t>
        </is>
      </c>
    </row>
    <row r="13" ht="46.25" customHeight="1" s="11">
      <c r="A13" s="22" t="inlineStr">
        <is>
          <t>REQ-33</t>
        </is>
      </c>
      <c r="B13" s="22" t="inlineStr">
        <is>
          <t>2026-10-17</t>
        </is>
      </c>
      <c r="C13" s="22" t="inlineStr">
        <is>
          <t>2.1.0</t>
        </is>
      </c>
      <c r="D13" s="22" t="inlineStr">
        <is>
          <t>[Nachricht von Dustin mit Screenshot der Wissenskarte] ne Möglichkeit, das Feld hier zu vergrößern, wäre auch nice</t>
        </is>
      </c>
      <c r="E13" s="22" t="inlineStr">
        <is>
          <t>Die Wissenskarte im B Interaction Interface MUSS sich per Knopf vergrößern lassen (großes Fenster über der Seite) und SOLL dabei in der neuen Größe neu gezeichnet werden; Zurück per Knopf, Esc oder Klick daneben.</t>
        </is>
      </c>
      <c r="F13" s="22" t="inlineStr">
        <is>
          <t>Knopf „⤢ Enlarge“ im Kopf der Karte → Karte füllt fast den ganzen Bildschirm (z. B. 2368×1268 px bei 2400×1300), Inhalt füllt die Fläche; „✕ Close“, Esc oder Klick auf den abgedunkelten Rand → normale Größe.</t>
        </is>
      </c>
      <c r="G13" s="22" t="inlineStr">
        <is>
          <t>Frontend · Wissenskarte (B)</t>
        </is>
      </c>
      <c r="H13" s="22" t="inlineStr">
        <is>
          <t>Mittel</t>
        </is>
      </c>
      <c r="I13" s="22" t="inlineStr">
        <is>
          <t>Erledigt</t>
        </is>
      </c>
      <c r="J13" s="22" t="inlineStr">
        <is>
          <t>Button #cgMax + Abdunklung #cgMaxScrim (index.html), Klasse .maxed (css/clusters.css), cgMax() in js/clusters.js. Geprüft an der lokalen Instanz: Zeichenfläche 2365×1191 px.</t>
        </is>
      </c>
    </row>
    <row r="14" ht="46.25" customHeight="1" s="11">
      <c r="A14" s="22" t="inlineStr">
        <is>
          <t>REQ-34</t>
        </is>
      </c>
      <c r="B14" s="22" t="inlineStr">
        <is>
          <t>2026-10-17</t>
        </is>
      </c>
      <c r="C14" s="22" t="inlineStr">
        <is>
          <t>2.1.0</t>
        </is>
      </c>
      <c r="D14" s="22" t="inlineStr">
        <is>
          <t>[Nachricht von Dustin mit Screenshot] Die Cluster hier liegen auf einem Zeitstrahl, ich kann sie aber verschieben. Verschieben ist cool, aber im Sinne des Zeitstrahls wahrscheinlich schwierig, oder?</t>
        </is>
      </c>
      <c r="E14" s="22" t="inlineStr">
        <is>
          <t>In der Wissenskarte mit Perioden (before 2025 / 2025 / 2026) SOLLEN Cluster weiterhin verschiebbar sein, DÜRFEN aber ihre Periodenspalte NICHT verlassen, damit der Zeitstrahl korrekt bleibt.</t>
        </is>
      </c>
      <c r="F14" s="22" t="inlineStr">
        <is>
          <t>Ein Cluster lässt sich innerhalb seiner Spalte frei ziehen; auch kräftiges Ziehen in die Nachbarspalte endet am Spaltenrand; auf der B-Seite bleibt er zusätzlich im Band „Semantic clusters“; „⟲ Reset view“ setzt wie bisher zurück.</t>
        </is>
      </c>
      <c r="G14" s="22" t="inlineStr">
        <is>
          <t>Frontend · Wissenskarte (3D)</t>
        </is>
      </c>
      <c r="H14" s="22" t="inlineStr">
        <is>
          <t>Mittel</t>
        </is>
      </c>
      <c r="I14" s="22" t="inlineStr">
        <is>
          <t>Erledigt</t>
        </is>
      </c>
      <c r="J14" s="22" t="inlineStr">
        <is>
          <t>mountGraph3D (js/clusters.js): keep() begrenzt x auf die Periodenspalte (±GAPX/2) und y auf das Cluster-Band – beim Ziehen und in der Kräfte-Simulation. Geprüft: C8 (before 2025) nach 40 Zügen nach rechts weiterhin in seiner Spalte.</t>
        </is>
      </c>
    </row>
    <row r="15" s="11">
      <c r="A15" s="22" t="inlineStr">
        <is>
          <t>REQ-35</t>
        </is>
      </c>
      <c r="B15" s="22" t="inlineStr">
        <is>
          <t>2026-10-29</t>
        </is>
      </c>
      <c r="C15" s="22" t="inlineStr">
        <is>
          <t>2.2.0</t>
        </is>
      </c>
      <c r="D15" s="22" t="inlineStr">
        <is>
          <t>was ich halt gerne auch hätte ist dioe bibio ontology an den research papers drann · [Rückfrage Datenquelle:] ja das reicht weil ich will vllt. einfach auch die vernetzung von paper anhand iherer refernezen sehen. das könnte man ja auch noch darstellen oder · mach das bitte und schreibe ein neues release fort. nciht major normal</t>
        </is>
      </c>
      <c r="E15" s="22" t="inlineStr">
        <is>
          <t>Research Papers MÜSSEN im Wissensgraphen mit der Bibliographic Ontology (BIBO) beschrieben werden (Typ, geordnete Autor:innenliste, Zitate). ALITA MUSS aus den Literaturverzeichnissen erkennen, welche Dokumente der Sammlung welche Research Papers der Sammlung zitieren, und dieses Zitationsnetz in der Oberfläche darstellen; dafür DARF NICHT neu eingebettet werden und es SOLL kein Sprachmodell nötig sein. Auslieferung als Minor-Release (nicht Major).</t>
        </is>
      </c>
      <c r="F15" s="22" t="inlineStr">
        <is>
          <t>Knopf „⇄ Citations“ in der Wissenskarte zeigt Papers/Projekte nach Jahr mit Pfeilen „zitiert“; Hover auf einen Pfeil zeigt die Fundstelle im Literaturverzeichnis; Klick öffnet das Dokument; Dokumentdetails zeigen „Cites“/„Cited by“; Graph Chat beantwortet „Welche Papers bauen auf X auf?“; Neo4j: MATCH (:Document)-[:CITES]-&gt;(:Document) liefert die Kanten mit bibo:cites; an den 21 Papers von Aster/Jasmine/Peony werden alle 7 gegenseitigen Zitate gefunden, ohne Fehltreffer; Version 2.2.0.</t>
        </is>
      </c>
      <c r="G15" s="22" t="inlineStr">
        <is>
          <t>Backend · Ontologie/Graph · Frontend · Wissenskarte (B)</t>
        </is>
      </c>
      <c r="H15" s="22" t="inlineStr">
        <is>
          <t>Hoch</t>
        </is>
      </c>
      <c r="I15" s="22" t="inlineStr">
        <is>
          <t>Erledigt</t>
        </is>
      </c>
      <c r="J15" s="22" t="inlineStr">
        <is>
          <t>app/citations.py (neu), graph.py (BIBO, CITES zwischen Dokumenten, BIBO-Import), graphrag.py (Zitationskontext), ingest.py (nach jeder Ingestion, CLI „citations“), main.py (GET /api/citations, POST /api/citations/rebuild); js/citations.js + css/citations.css (neu), documents.js. Literaturverzeichnisse, die durch Seitenkopfzeilen unterbrochen waren, werden jetzt vollständig als BibliographicReference erkannt. Datenquelle: nur der vorhandene Index (kein Crossref). Tests: tests/test_citations.py.</t>
        </is>
      </c>
    </row>
    <row r="16" s="11">
      <c r="A16" s="22" t="inlineStr">
        <is>
          <t>REQ-36</t>
        </is>
      </c>
      <c r="B16" s="22" t="inlineStr">
        <is>
          <t>2026-10-29</t>
        </is>
      </c>
      <c r="C16" s="22" t="inlineStr">
        <is>
          <t>2.2.0</t>
        </is>
      </c>
      <c r="D16" s="22" t="inlineStr">
        <is>
          <t>kann man an der ontology was ändern und das remappen ohne alle daten neu zhu embedden=</t>
        </is>
      </c>
      <c r="E16" s="22" t="inlineStr">
        <is>
          <t>Änderungen an der Ontologie (Graph-Modell, DEO-Regeln, neue Klassen) SOLLEN auf die vorhandenen Daten angewendet werden können, ohne alle Dokumente neu einzubetten; ein Neu-Embedding DARF nur nötig sein, wenn sich Extraktion oder Chunking ändern.</t>
        </is>
      </c>
      <c r="F16" s="22" t="inlineStr">
        <is>
          <t>Nach einer Änderung der DEO-Regeln setzt ein Befehl (z. B. „ingest relabel“) deo/deo_source aller Chunks neu und baut den Graphen neu auf, ohne Embedding-Aufrufe (0 Embedding-Tokens in der Kostenanzeige).</t>
        </is>
      </c>
      <c r="G16" s="22" t="inlineStr">
        <is>
          <t>Backend · Ontologie/Ingestion</t>
        </is>
      </c>
      <c r="H16" s="22" t="inlineStr">
        <is>
          <t>Mittel</t>
        </is>
      </c>
      <c r="I16" s="22" t="inlineStr">
        <is>
          <t>Offen</t>
        </is>
      </c>
      <c r="J16" s="22" t="inlineStr">
        <is>
          <t>Beantwortet am 29.10.2026: Vektoren hängen nicht an DEO (Embedding = Kopf + Chunk-Text). Graph-Modell: /api/graph/setup + /api/graph/rebuild. Mit 2.2.0 nur für Literaturverzeichnisse umgesetzt (citations.rebuild, set_payload). Allgemeiner Relabel-Befehl noch nicht gebaut; Doku 07-operations.md weist darauf hin.</t>
        </is>
      </c>
    </row>
    <row r="17">
      <c r="A17" s="22" t="inlineStr">
        <is>
          <t>REQ-37</t>
        </is>
      </c>
      <c r="B17" s="22" t="inlineStr">
        <is>
          <t>2026-10-29</t>
        </is>
      </c>
      <c r="C17" s="22" t="inlineStr">
        <is>
          <t>3.0.0</t>
        </is>
      </c>
      <c r="D17" s="22" t="inlineStr">
        <is>
          <t>[Paper arXiv:2505.00039 angehängt] In this paper a temporal addition to the rag was made. how could we implement that? · Die sagen im paper die haben diesen action node reingebaut oder</t>
        </is>
      </c>
      <c r="E17" s="22" t="inlineStr">
        <is>
          <t>ALITA SOLL Fragen zu einem Zeitpunkt deterministisch mit der damals gültigen Fassung beantworten (Stichtag, Zeitraum, Verfahrensstufe) und die dafür angewendete Regel offenlegen; Änderungen MÜSSEN als eigene, durchsuchbare Ereignisse (Action-Knoten mit Beschreibungstext) modelliert werden, wie im SAT-Graph RAG beschrieben.</t>
        </is>
      </c>
      <c r="F17" s="22" t="inlineStr">
        <is>
          <t>„Was galt am 1.9.2026 für Anhang III?“ nutzt nur Fassungen mit valid_from ≤ 2026-09-01 &lt; valid_to und zeigt „⏱ Legal texts: versions in force on 2026-09-01 (point in time)“; „Was hat sich seit 2024 in Artikel 50 geändert?“ zeigt eine Tabelle der Actions; „Seit wann steht ‚X‘ drin?“ nennt Fassung und Action; ohne Datum gilt heute.</t>
        </is>
      </c>
      <c r="G17" s="22" t="inlineStr">
        <is>
          <t>Backend · Retrieval / Legal-Ontologie</t>
        </is>
      </c>
      <c r="H17" s="22" t="inlineStr">
        <is>
          <t>Hoch</t>
        </is>
      </c>
      <c r="I17" s="22" t="inlineStr">
        <is>
          <t>Erledigt</t>
        </is>
      </c>
      <c r="J17" s="22" t="inlineStr">
        <is>
          <t>app/legal_time.py (Planer, Regeln), filters.legal_condition (Qdrant), app/legal_chat.py (Query Patterns 1–3), Anzeige js/legal.js. Für Rechtstexte umgesetzt; Manuskriptversionen von Research Projects offen.</t>
        </is>
      </c>
    </row>
    <row r="18">
      <c r="A18" s="22" t="inlineStr">
        <is>
          <t>REQ-38</t>
        </is>
      </c>
      <c r="B18" s="22" t="inlineStr">
        <is>
          <t>2026-10-29</t>
        </is>
      </c>
      <c r="C18" s="22" t="inlineStr">
        <is>
          <t>3.0.0</t>
        </is>
      </c>
      <c r="D18" s="22" t="inlineStr">
        <is>
          <t>ja aber ich hätte gerne dann noch eine ontologie erweiterug nur mit dem von diesem paper für gesetzestexte. wie würdest du das machen. dazubwürden ich dann noch andere dokuemnten typen ergänzen. das wären: Legal project analog zu research projects mit den stufen der gesetzes versionen und dann iurgendwie legal guidelines sowie standards · Dann ergänze jetzt gemäß dem paper was ich dir gerade gegeben habe die ontolopgie für gesetze und standards. Das ist ein major release.</t>
        </is>
      </c>
      <c r="E18" s="22" t="inlineStr">
        <is>
          <t>ALITA MUSS Gesetze, Leitlinien und Standards nach dem Modell des Papers abbilden (Werk, Bestandteil, datierte Fassung mit Aggregation, Sprachfassung, Text Unit, Action) und die Dokumenttypen Legal project (Fassungen als Stufen, analog Research Project), Legal guideline und Standard anbieten. Auslieferung als Major-Release.</t>
        </is>
      </c>
      <c r="F18" s="22" t="inlineStr">
        <is>
          <t>Upload einer ZIP mit Gesetzesfassungen und _legal.yaml erzeugt eine Norm mit Bestandteilen (Art./§/Abs./Anhang bzw. Clauses), Fassungen mit Geltung und Actions; Graph enthält Norm/Component/TemporalVersion/LanguageVersion/Action mit ELI-Klassen; Leitlinien/Standards erscheinen als ▲ in der Karte und im Dokumente-Tab; Version 3.0.0.</t>
        </is>
      </c>
      <c r="G18" s="22" t="inlineStr">
        <is>
          <t>Backend · Ontologie/Graph · Ingestion · Frontend</t>
        </is>
      </c>
      <c r="H18" s="22" t="inlineStr">
        <is>
          <t>Hoch</t>
        </is>
      </c>
      <c r="I18" s="22" t="inlineStr">
        <is>
          <t>Erledigt</t>
        </is>
      </c>
      <c r="J18" s="22" t="inlineStr">
        <is>
          <t>app/legal.py, app/legal_ingest.py, graph.build_legal_statements, API /api/legal/*, js/legal.js, Typen/Formen/Farben im Frontend, Doku 08-legal-ontology.md. Noch nicht mit einem echten Amtsblatt-PDF eingelesen (nur strukturierte Muster).</t>
        </is>
      </c>
    </row>
    <row r="19">
      <c r="A19" s="22" t="inlineStr">
        <is>
          <t>REQ-39</t>
        </is>
      </c>
      <c r="B19" s="22" t="inlineStr">
        <is>
          <t>2026-10-29</t>
        </is>
      </c>
      <c r="C19" s="22" t="inlineStr">
        <is>
          <t>3.0.0</t>
        </is>
      </c>
      <c r="D19" s="22" t="inlineStr">
        <is>
          <t>Danach erstelle eine neue Datenbank "EU AI Act" mit entsprechender blume.</t>
        </is>
      </c>
      <c r="E19" s="22" t="inlineStr">
        <is>
          <t>Es MUSS eine Datenbank „EU AI Act“ geben, mit eigener Blume und Farbe wie die anderen Datenbanken, auswählbar in Datenbankleiste, Upload und Filtern.</t>
        </is>
      </c>
      <c r="F19" s="22" t="inlineStr">
        <is>
          <t>Datenbankleiste zeigt „EU AI Act“ mit Kornblume; „Add new data“ bietet sie an; Ordner research/EUAIA/ wird beim Einlesen zugeordnet.</t>
        </is>
      </c>
      <c r="G19" s="22" t="inlineStr">
        <is>
          <t>Backend · Konfiguration · Frontend</t>
        </is>
      </c>
      <c r="H19" s="22" t="inlineStr">
        <is>
          <t>Mittel</t>
        </is>
      </c>
      <c r="I19" s="22" t="inlineStr">
        <is>
          <t>Erledigt</t>
        </is>
      </c>
      <c r="J19" s="22" t="inlineStr">
        <is>
          <t>EUAIA in config.py, js/databases.js (Kornblume), css/base.css + css/space3d.css (Farbe), research/EUAIA/ mit _legal.yaml-Vorlage. Hinweis .env.</t>
        </is>
      </c>
    </row>
    <row r="20" s="11">
      <c r="A20" s="22" t="inlineStr">
        <is>
          <t>REQ-40</t>
        </is>
      </c>
      <c r="B20" s="22" t="inlineStr">
        <is>
          <t>2026-10-29</t>
        </is>
      </c>
      <c r="C20" s="22" t="inlineStr">
        <is>
          <t>2.2.0 → 3.0.0</t>
        </is>
      </c>
      <c r="D20" s="22" t="inlineStr">
        <is>
          <t>Und welche Ontologie benutzen wir jetzt gerade dann. muss ich ja zitieren</t>
        </is>
      </c>
      <c r="E20" s="22" t="inlineStr">
        <is>
          <t>Die Doku MUSS genau die Ontologien nennen, die ALITA verwendet, mit zitierfähigen Quellen; im Graphen DÜRFEN NUR Klassen verwendet werden, die es in der jeweiligen Ontologie gibt.</t>
        </is>
      </c>
      <c r="F20" s="22" t="inlineStr">
        <is>
          <t>Liste der verwendeten Ontologien mit Literaturangaben; keine nicht existierenden Klassen (fabio:Note) und keine nicht verwendeten Ontologien (C4O) in Code und Doku.</t>
        </is>
      </c>
      <c r="G20" s="22" t="inlineStr">
        <is>
          <t>Doku · Ontologie</t>
        </is>
      </c>
      <c r="H20" s="22" t="inlineStr">
        <is>
          <t>Mittel</t>
        </is>
      </c>
      <c r="I20" s="22" t="inlineStr">
        <is>
          <t>Erledigt</t>
        </is>
      </c>
      <c r="J20" s="22" t="inlineStr">
        <is>
          <t>Literaturangaben im Chat geliefert; fabio:Note → fabio:Expression, C4O-Zeile entfernt (3.0.0).</t>
        </is>
      </c>
    </row>
    <row r="21" s="11">
      <c r="A21" s="22" t="inlineStr">
        <is>
          <t>REQ-41</t>
        </is>
      </c>
      <c r="B21" s="22" t="inlineStr">
        <is>
          <t>2026-10-29</t>
        </is>
      </c>
      <c r="C21" s="22" t="inlineStr">
        <is>
          <t>3.0.1</t>
        </is>
      </c>
      <c r="D21" s="22" t="inlineStr">
        <is>
          <t>Hier ist das erste legal project. ich hänge dir 2 dateien die ein dokument darstellen. kann man das einmal ingesten?</t>
        </is>
      </c>
      <c r="E21" s="22" t="inlineStr">
        <is>
          <t>Ein Legal project MUSS aus Fassungen bestehen können, deren Text auf mehrere Dateien verteilt ist (Hauptdokument + Anhänge); der Kommissionsvorschlag COM(2021) 206 MUSS korrekt in Titel, Kapitel, Artikel, Absätze, Punkte, Erwägungsgründe und Anhänge zerlegt werden; der Finanzbogen DARF NICHT als Teil eines Artikels gelten. Sind nur Entwürfe vorhanden, SOLL der Chat den jüngsten Entwurf verwenden und das offenlegen.</t>
        </is>
      </c>
      <c r="F21" s="22" t="inlineStr">
        <is>
          <t>Nach „ingest legal“ erscheint „AI Act – Proposal“ als ein Dokument (125 Seiten, beide Dateien) im Legal project „EU-AI-Act“ der Datenbank „EU AI Act“; 85 Artikel, 89 Erwägungsgründe, 9 Anhänge; Frage „What does Article 5 of the proposal prohibit?“ liefert Art. 5 mit Hinweis „Proposal, not in force“.</t>
        </is>
      </c>
      <c r="G21" s="22" t="inlineStr">
        <is>
          <t>Backend · Ingest · Daten</t>
        </is>
      </c>
      <c r="H21" s="22" t="inlineStr">
        <is>
          <t>Hoch</t>
        </is>
      </c>
      <c r="I21" s="22" t="inlineStr">
        <is>
          <t>Erledigt</t>
        </is>
      </c>
      <c r="J21" s="22" t="inlineStr">
        <is>
          <t>Code + Tests fertig (81 passed), Modell offline aus den echten PDFs gebaut. Ingest per Docker am 29.10.2026 erfolgreich (erster Versuch scheiterte am fehlenden OpenRouter-Key – Key per -e OPENROUTER_API_KEY mitgeben). Später: Verordnung 2024/1689 und konsolidierte Fassung ergänzen, dann mit --force neu einlesen.</t>
        </is>
      </c>
    </row>
    <row r="22" s="11">
      <c r="A22" s="22" t="inlineStr">
        <is>
          <t>REQ-42</t>
        </is>
      </c>
      <c r="B22" s="22" t="inlineStr">
        <is>
          <t>2026-10-29</t>
        </is>
      </c>
      <c r="C22" s="22" t="inlineStr">
        <is>
          <t>3.0.2</t>
        </is>
      </c>
      <c r="D22" s="22" t="inlineStr">
        <is>
          <t>das ist ingested aber warum sieht das so falsch aus: [Screenshot der Wissenskarte: EU-AI-Act und alle Jasmine-Paper an einem Cluster C3]</t>
        </is>
      </c>
      <c r="E22" s="22" t="inlineStr">
        <is>
          <t>Das Einlesen neuer Daten DARF die Cluster anderer Datenbanken NICHT verändern; nach einer Ingestion MÜSSEN nur die betroffenen Datenbanken neu geclustert werden, mit derselben Einheit wie zuvor (Projekte bzw. Projektdateien). Ein Legal project MUSS genau eine Clustering-Einheit sein. Beschriftungen in der Wissenskarte DÜRFEN andere Knoten NICHT überdecken.</t>
        </is>
      </c>
      <c r="F22" s="22" t="inlineStr">
        <is>
          <t>Nach „ingest legal“ für EUAIA bleiben die Cluster von AL, DL, JSW, LDK, ML und CNN_DM unverändert; EUAIA hat einen eigenen Cluster; Auswahl Jasmine + EU AI Act zeigt Jasmines eigene Cluster und den AI Act getrennt; Projektname „EU-AI-Act“ überlappt kein Paper.</t>
        </is>
      </c>
      <c r="G22" s="22" t="inlineStr">
        <is>
          <t>Backend · Clustering · Frontend</t>
        </is>
      </c>
      <c r="H22" s="22" t="inlineStr">
        <is>
          <t>Hoch</t>
        </is>
      </c>
      <c r="I22" s="22" t="inlineStr">
        <is>
          <t>Erledigt</t>
        </is>
      </c>
      <c r="J22" s="22" t="inlineStr">
        <is>
          <t>maybe_recluster(opts, databases) je DB mit _uses_project_files; ingest_all sammelt betroffene DBs; select_units ohne Legal-project-Doppel; recompute ab 1 Einheit; Label-Platz in clusters.js. Tests 83 passed. Bestehende Cluster müssen einmalig je DB neu berechnet werden.</t>
        </is>
      </c>
    </row>
    <row r="23" s="11">
      <c r="A23" s="22" t="inlineStr">
        <is>
          <t>REQ-43</t>
        </is>
      </c>
      <c r="B23" s="22" t="inlineStr">
        <is>
          <t>2026-10-29</t>
        </is>
      </c>
      <c r="C23" s="22" t="inlineStr">
        <is>
          <t>3.1.0</t>
        </is>
      </c>
      <c r="D23" s="22" t="inlineStr">
        <is>
          <t>jetzt kommt das nächste dokument oder eine version vom ai act [ConsolidatedCA_IMCOLIBE_AI_ACT_EN.pdf]</t>
        </is>
      </c>
      <c r="E23" s="22" t="inlineStr">
        <is>
          <t>Das Legal project „EU-AI-Act“ MUSS die Kompromissänderungen der Ausschüsse IMCO/LIBE vom 9.5.2023 als eigene Fassung (Entwurfsstufe, ohne Geltung) zwischen Vorschlag und Verordnung führen. Teile, die im Dokument nicht vorkommen, DÜRFEN NICHT als gestrichen gelten, sondern MÜSSEN aus der Vorfassung übernommen werden. Unterschiede der PDF-Extraktion (Leerzeichen, Bindestriche) DÜRFEN NICHT als Änderung zählen.</t>
        </is>
      </c>
      <c r="F23" s="22" t="inlineStr">
        <is>
          <t>Nach „ingest legal“: zwei Fassungen (Proposal, Committee amendments); Fassung 2 mit 0 gestrichenen Bestandteilen; Art. 13 unverändert aus dem Vorschlag; neue Artikel 4a, 28a, 28b, 54a vorhanden; Frage „What did the IMCO/LIBE compromise amendments change in Article 5?“ nutzt Stufe committee und zeigt Änderungen.</t>
        </is>
      </c>
      <c r="G23" s="22" t="inlineStr">
        <is>
          <t>Backend · Legal · Daten</t>
        </is>
      </c>
      <c r="H23" s="22" t="inlineStr">
        <is>
          <t>Hoch</t>
        </is>
      </c>
      <c r="I23" s="22" t="inlineStr">
        <is>
          <t>In Arbeit</t>
        </is>
      </c>
      <c r="J23" s="22" t="inlineStr">
        <is>
          <t>Tests 86 passed; ingest_legal mit Platzhaltern für Qdrant/Neo4j/LLM durchgelaufen (2269 Text Units). Einlesen per Docker mit -e OPENROUTER_API_KEY steht aus. Plenarposition 14.6.2023, allgemeine Ausrichtung des Rates, Verordnung 2024/1689 und konsolidierte Fassung fehlen noch.</t>
        </is>
      </c>
    </row>
    <row r="24" s="11">
      <c r="A24" s="22" t="inlineStr">
        <is>
          <t>REQ-44</t>
        </is>
      </c>
      <c r="B24" s="22" t="inlineStr">
        <is>
          <t>2026-10-29</t>
        </is>
      </c>
      <c r="C24" s="22" t="inlineStr">
        <is>
          <t>3.1.1</t>
        </is>
      </c>
      <c r="D24" s="22" t="inlineStr">
        <is>
          <t>uind jetzt kommt das finale gesetz dazhu [OJ_L_202401689_EN_TXT.pdf]</t>
        </is>
      </c>
      <c r="E24" s="22" t="inlineStr">
        <is>
          <t>Das Legal project „EU-AI-Act“ MUSS die im Amtsblatt veröffentlichte Verordnung (EU) 2024/1689 als geltende Fassung (in Kraft ab 1.8.2024) führen, mit den Anwendungsdaten nach Art. 113 je Bestimmung. Fußnoten DÜRFEN NICHT als Erwägungsgründe gelten; Verweise in Anhängen DÜRFEN NICHT als Artikel gelten.</t>
        </is>
      </c>
      <c r="F24" s="22" t="inlineStr">
        <is>
          <t>Nach „ingest legal“: drei Fassungen, Verordnung aktuell; 180 Erwägungsgründe, 113 Artikel, 13 Kapitel mit 16 Abschnitten, 13 Anhänge; Art. 5 anwendbar ab 2.2.2025, Art. 6(1) ab 2.8.2027, Art. 101 ab 2.8.2026, Kapitel V ab 2.8.2025; Frage ohne Datum nutzt die Verordnung.</t>
        </is>
      </c>
      <c r="G24" s="22" t="inlineStr">
        <is>
          <t>Backend · Legal · Daten</t>
        </is>
      </c>
      <c r="H24" s="22" t="inlineStr">
        <is>
          <t>Hoch</t>
        </is>
      </c>
      <c r="I24" s="22" t="inlineStr">
        <is>
          <t>In Arbeit</t>
        </is>
      </c>
      <c r="J24" s="22" t="inlineStr">
        <is>
          <t>Tests 88 passed; ingest_legal mit Platzhaltern für Qdrant/Neo4j/LLM durchgelaufen (3 Fassungen, 5270 Text Units). Einlesen per Docker mit -e OPENROUTER_API_KEY steht aus. Konsolidierte Fassung (Digital Omnibus) fehlt noch.</t>
        </is>
      </c>
    </row>
    <row r="25" s="11">
      <c r="A25" s="22" t="inlineStr">
        <is>
          <t>REQ-45</t>
        </is>
      </c>
      <c r="B25" s="22" t="inlineStr">
        <is>
          <t>2026-10-29</t>
        </is>
      </c>
      <c r="C25" s="22" t="inlineStr">
        <is>
          <t>3.2.0</t>
        </is>
      </c>
      <c r="D25" s="22" t="inlineStr">
        <is>
          <t>jetzt dazu im projekt der omnibus [OJ_L_202601744_EN_TXT.pdf]</t>
        </is>
      </c>
      <c r="E25" s="22" t="inlineStr">
        <is>
          <t>Das Legal project „EU-AI-Act“ MUSS die Änderungen des Digital Omnibus on AI (Verordnung (EU) 2026/1744) als neue geltende Fassung ab 27.7.2026 führen. Da das Dokument eine Änderungsverordnung ist, MUSS ALITA die Änderungsbefehle auf die Verordnung 2024/1689 anwenden; Befehle, die nicht sicher angewendet werden können, MÜSSEN offen gemeldet werden und DÜRFEN NICHT stillschweigend fehlen.</t>
        </is>
      </c>
      <c r="F25" s="22" t="inlineStr">
        <is>
          <t>Nach „ingest legal“: vier Fassungen in einem Projekt; Verordnung 2024 gilt bis 26.7.2026, konsolidierte Fassung ab 27.7.2026; Art. 4a, 60a, 75a–75d und Anhang XIV vorhanden; Art. 10(5) gestrichen; Art. 5(1)(ba) anwendbar ab 2.12.2026, Kapitel III Abschnitte 1–3 ab 2.12.2027, Art. 6(1) ab 2.8.2028; Dokumentdetails zeigen 63/72 angewendet und die offenen Befehle.</t>
        </is>
      </c>
      <c r="G25" s="22" t="inlineStr">
        <is>
          <t>Backend · Legal · Daten</t>
        </is>
      </c>
      <c r="H25" s="22" t="inlineStr">
        <is>
          <t>Hoch</t>
        </is>
      </c>
      <c r="I25" s="22" t="inlineStr">
        <is>
          <t>In Arbeit</t>
        </is>
      </c>
      <c r="J25" s="22" t="inlineStr">
        <is>
          <t>Tests 89 passed; ingest_legal mit Platzhaltern für Qdrant/Neo4j/LLM durchgelaufen (4 Fassungen, 6318 Text Units). Einlesen per Docker mit -e OPENROUTER_API_KEY steht aus. Offen: 2 spätere Unterabsätze und 2 Anhangpunkte; zwei Daten für Kapitel III (Anhang III / Anhang I) auf je einen Teil abgebildet.</t>
        </is>
      </c>
    </row>
    <row r="26" s="11">
      <c r="A26" s="22" t="inlineStr">
        <is>
          <t>REQ-46</t>
        </is>
      </c>
      <c r="B26" s="22" t="inlineStr">
        <is>
          <t>2026-10-29</t>
        </is>
      </c>
      <c r="C26" s="22" t="inlineStr">
        <is>
          <t>3.2.1</t>
        </is>
      </c>
      <c r="D26" s="22" t="inlineStr">
        <is>
          <t>und jetzt kommt eine legal guideline [Commission_Guidelines_on_the_definition_of_an_artificial_intelligence_system … .PDF]</t>
        </is>
      </c>
      <c r="E26" s="22" t="inlineStr">
        <is>
          <t>Die Leitlinien der Kommission zur Definition eines KI-Systems MÜSSEN als Legal guideline in der Datenbank „EU AI Act“ geführt werden, gegliedert nach Abschnitten, Gliederungspunkten und Randnummern, zitierbar als „Para. n“. Fußnoten DÜRFEN NICHT als Gliederung oder Randnummer gelten.</t>
        </is>
      </c>
      <c r="F26" s="22" t="inlineStr">
        <is>
          <t>Nach „ingest guideline /research/EUAIA/guidelines“: ein Dokument vom Typ Legal guideline (▲) in EU AI Act, gültig ab 29.7.2025; 64 Randnummern; Frage „What do the Commission guidelines say about adaptiveness?“ nennt Randnummern aus Abschnitt II.3.</t>
        </is>
      </c>
      <c r="G26" s="22" t="inlineStr">
        <is>
          <t>Backend · Legal · Daten</t>
        </is>
      </c>
      <c r="H26" s="22" t="inlineStr">
        <is>
          <t>Mittel</t>
        </is>
      </c>
      <c r="I26" s="22" t="inlineStr">
        <is>
          <t>In Arbeit</t>
        </is>
      </c>
      <c r="J26" s="22" t="inlineStr">
        <is>
          <t>Tests 90 passed; ingest_legal als Legal guideline mit Platzhaltern durchgelaufen. Einlesen per Docker mit -e OPENROUTER_API_KEY steht aus. Offen: Verknüpfung der Leitlinie mit Art. 3(1) im Graphen.</t>
        </is>
      </c>
    </row>
    <row r="27" s="11">
      <c r="A27" s="22" t="inlineStr">
        <is>
          <t>REQ-47</t>
        </is>
      </c>
      <c r="B27" s="22" t="inlineStr">
        <is>
          <t>2026-10-29</t>
        </is>
      </c>
      <c r="C27" s="22" t="inlineStr">
        <is>
          <t>3.2.2</t>
        </is>
      </c>
      <c r="D27" s="22" t="inlineStr">
        <is>
          <t>und noch ein legal guideline [Guidelines_on_prohibited_artificial_intelligence_practices … .PDF]</t>
        </is>
      </c>
      <c r="E27" s="22" t="inlineStr">
        <is>
          <t>Die Leitlinien der Kommission zu verbotenen KI-Praktiken MÜSSEN als zweite Legal guideline in „EU AI Act“ geführt werden; Inhaltsverzeichnis, Aufzählungen im Text und zitierte Bestimmungen DÜRFEN NICHT als Gliederung gelten; alle Randnummern MÜSSEN vollständig und eindeutig sein.</t>
        </is>
      </c>
      <c r="F27" s="22" t="inlineStr">
        <is>
          <t>Nach „ingest guideline /research/EUAIA/guidelines“: zwei Legal guidelines; diese mit 433 Randnummern ohne Dubletten und 114 Gliederungspunkten; Frage „What do the guidelines say about social scoring?“ nennt Randnummern aus Kapitel 4.</t>
        </is>
      </c>
      <c r="G27" s="22" t="inlineStr">
        <is>
          <t>Backend · Legal · Daten</t>
        </is>
      </c>
      <c r="H27" s="22" t="inlineStr">
        <is>
          <t>Mittel</t>
        </is>
      </c>
      <c r="I27" s="22" t="inlineStr">
        <is>
          <t>In Arbeit</t>
        </is>
      </c>
      <c r="J27" s="22" t="inlineStr">
        <is>
          <t>Tests 91 passed; ingest_legal für beide Leitlinien mit Platzhaltern durchgelaufen. Einlesen per Docker mit -e OPENROUTER_API_KEY steht aus.</t>
        </is>
      </c>
    </row>
    <row r="28" s="11">
      <c r="A28" s="22" t="inlineStr">
        <is>
          <t>REQ-48</t>
        </is>
      </c>
      <c r="B28" s="22" t="inlineStr">
        <is>
          <t>2026-10-29</t>
        </is>
      </c>
      <c r="C28" s="22" t="inlineStr">
        <is>
          <t>3.3.0</t>
        </is>
      </c>
      <c r="D28" s="22" t="inlineStr">
        <is>
          <t>jetzt kommet eher etwas anderes aber ich weiß nicht wie ich das nenne soll mach du eine neue dokumentenklasse auf für die eu ai act db [node_13629_printable_pdf.pdf – AI Literacy - Questions &amp; Answers]</t>
        </is>
      </c>
      <c r="E28" s="22" t="inlineStr">
        <is>
          <t>Es MUSS eine eigene Dokumentklasse für unverbindliche Erläuterungen von Behörden (Q&amp;A-Seiten, FAQs, Factsheets) geben, getrennt von förmlichen Leitlinien; solche Dokumente MÜSSEN nach Themen und Fragen gegliedert und als „Q n.m“ zitierbar sein; Stände einer Webseite SOLLEN als Fassungen über die Zeit geführt werden.</t>
        </is>
      </c>
      <c r="F28" s="22" t="inlineStr">
        <is>
          <t>Nach „ingest guidance /research/EUAIA/guidance“: Dokument „AI Literacy – Questions &amp; Answers“ vom Typ Guidance &amp; FAQ (▲, Chip „FAQ“) in EU AI Act, Stufe „Web page snapshot“ ab 29.10.2026; 5 Themen, 34 Fragen; Frage „Is AI training mandatory under Article 4?“ nennt Q 2.3 als Quelle.</t>
        </is>
      </c>
      <c r="G28" s="22" t="inlineStr">
        <is>
          <t>Backend · Frontend · Legal · Daten</t>
        </is>
      </c>
      <c r="H28" s="22" t="inlineStr">
        <is>
          <t>Mittel</t>
        </is>
      </c>
      <c r="I28" s="22" t="inlineStr">
        <is>
          <t>In Arbeit</t>
        </is>
      </c>
      <c r="J28" s="22" t="inlineStr">
        <is>
          <t>Name gewählt von Claude: „Guidance &amp; FAQ“ (guidance). Tests 92 passed; ingest_legal als guidance mit Platzhaltern durchgelaufen (40 Bestandteile); Oberfläche mit Mock-API geprüft. Einlesen per Docker mit -e OPENROUTER_API_KEY steht aus.</t>
        </is>
      </c>
    </row>
    <row r="29" s="11">
      <c r="A29" s="22" t="inlineStr">
        <is>
          <t>REQ-49</t>
        </is>
      </c>
      <c r="B29" s="22" t="inlineStr">
        <is>
          <t>2026-10-30</t>
        </is>
      </c>
      <c r="C29" s="22" t="inlineStr">
        <is>
          <t>3.3.1</t>
        </is>
      </c>
      <c r="D29" s="22" t="inlineStr">
        <is>
          <t>jetzt ein standard [Datei – in 3.7.0 entfernt]</t>
        </is>
      </c>
      <c r="E29" s="22" t="inlineStr">
        <is>
          <t>Ein erster Standard MUSS in „EU AI Act“ geführt werden, gegliedert in Abschnitte, Begriffe und Anhänge. Personenbezogene Lizenzstempel des Downloads DÜRFEN NICHT in Index, Graph oder Prompts gelangen.</t>
        </is>
      </c>
      <c r="F29" s="22" t="inlineStr">
        <is>
          <t>Standard gegliedert in Abschnitte, Begriffe und Anhänge; kein Name/keine Kundennummer im Text.</t>
        </is>
      </c>
      <c r="G29" s="22" t="inlineStr">
        <is>
          <t>Backend · Legal · Datenschutz · Daten</t>
        </is>
      </c>
      <c r="H29" s="22" t="inlineStr">
        <is>
          <t>Hoch</t>
        </is>
      </c>
      <c r="I29" s="22" t="inlineStr">
        <is>
          <t>Verworfen</t>
        </is>
      </c>
      <c r="J29" s="22" t="inlineStr">
        <is>
          <t>Parser und Entfernen der Lizenzstempel umgesetzt (Tests 93 passed). Der Standard selbst wurde in 3.7.0 auf Wunsch vollständig entfernt (REQ-60).</t>
        </is>
      </c>
    </row>
    <row r="30" s="11">
      <c r="A30" s="22" t="inlineStr">
        <is>
          <t>REQ-50</t>
        </is>
      </c>
      <c r="B30" s="22" t="inlineStr">
        <is>
          <t>2026-10-30</t>
        </is>
      </c>
      <c r="C30" s="22" t="inlineStr">
        <is>
          <t>3.3.2</t>
        </is>
      </c>
      <c r="D30" s="22" t="inlineStr">
        <is>
          <t>nochmal so ein e art standard [Datei 1 – identisch mit dem ersten Standard, entfernt] / [NIST.SP.800-18r2.pdf]</t>
        </is>
      </c>
      <c r="E30" s="22" t="inlineStr">
        <is>
          <t>NIST SP 800-18 Rev. 2 MUSS als weiterer Standard in „EU AI Act“ geführt werden, mit Abschnitten, Anhängen (Appendix A–D) und Literaturverzeichnis als eigenen Bestandteilen. Doppelte Uploads DÜRFEN NICHT zu doppelten Dokumenten führen.</t>
        </is>
      </c>
      <c r="F30" s="22" t="inlineStr">
        <is>
          <t>Nach „ingest standard /research/EUAIA/standards“: Standard NIST SP 800-18r2 mit 28 Abschnitten, References und Anhängen A–D; Frage „What does NIST SP 800-18r2 say about consolidated system plans?“ nennt Clause 2.4.</t>
        </is>
      </c>
      <c r="G30" s="22" t="inlineStr">
        <is>
          <t>Backend · Legal · Daten</t>
        </is>
      </c>
      <c r="H30" s="22" t="inlineStr">
        <is>
          <t>Mittel</t>
        </is>
      </c>
      <c r="I30" s="22" t="inlineStr">
        <is>
          <t>In Arbeit</t>
        </is>
      </c>
      <c r="J30" s="22" t="inlineStr">
        <is>
          <t>Tests 94 passed; ingest_legal für den Standard mit Platzhaltern durchgelaufen.</t>
        </is>
      </c>
    </row>
    <row r="31" s="11">
      <c r="A31" s="22" t="inlineStr">
        <is>
          <t>REQ-51</t>
        </is>
      </c>
      <c r="B31" s="22" t="inlineStr">
        <is>
          <t>2026-10-30</t>
        </is>
      </c>
      <c r="C31" s="22" t="inlineStr">
        <is>
          <t>3.4.0</t>
        </is>
      </c>
      <c r="D31" s="22" t="inlineStr">
        <is>
          <t>add this paper with is whitepaper [commission-white-paper-artificial-intelligence-feb2020_en.pdf]</t>
        </is>
      </c>
      <c r="E31" s="22" t="inlineStr">
        <is>
          <t>Das Weißbuch der Kommission zur KI MUSS als Dokument mit der Rolle „White paper“ im Legal project EU-AI-Act geführt werden, mit seinem Datum (19.2.2020) vor dem Vorschlag; es DARF NICHT als Fassung des Gesetzes gelten.</t>
        </is>
      </c>
      <c r="F31" s="22" t="inlineStr">
        <is>
          <t>Nach „ingest legal /research/EUAIA/legal/EU-AI-Act“: Projekt mit 5 Dateien; Weißbuch mit Rolle „White paper“, Datum 19.2.2020, eigener Zusammenfassung; Frage „What did the 2020 White Paper propose and what ended up in the AI Act?“ nennt Weißbuch und Verordnung.</t>
        </is>
      </c>
      <c r="G31" s="22" t="inlineStr">
        <is>
          <t>Backend · Legal · Daten</t>
        </is>
      </c>
      <c r="H31" s="22" t="inlineStr">
        <is>
          <t>Mittel</t>
        </is>
      </c>
      <c r="I31" s="22" t="inlineStr">
        <is>
          <t>In Arbeit</t>
        </is>
      </c>
      <c r="J31" s="22" t="inlineStr">
        <is>
          <t>Tests 95 passed; ingest_legal mit Platzhaltern durchgelaufen. Einlesen per Docker mit -e OPENROUTER_API_KEY steht aus.</t>
        </is>
      </c>
    </row>
    <row r="32" s="11">
      <c r="A32" s="22" t="inlineStr">
        <is>
          <t>REQ-52</t>
        </is>
      </c>
      <c r="B32" s="22" t="inlineStr">
        <is>
          <t>2026-10-30</t>
        </is>
      </c>
      <c r="C32" s="22" t="inlineStr">
        <is>
          <t>3.5.0</t>
        </is>
      </c>
      <c r="D32" s="22" t="inlineStr">
        <is>
          <t>Versteck alle Datenbanken außer EU AI Act . Die anderen Datenbanken werden erst dann angezeigt, wenn man neben oprenouter key ein passwort eingibt. Das password ist "password".</t>
        </is>
      </c>
      <c r="E32" s="22" t="inlineStr">
        <is>
          <t>Ohne Passwort MUSS die Oberfläche nur die Datenbank „EU AI Act“ anzeigen (Datenbankleiste, Dokumente, Projekte, Cluster, 3D-/Zeitansicht, Personen, Zitationen); die Chats DÜRFEN NICHT in anderen Datenbanken suchen. Die übrigen Datenbanken MÜSSEN nach Eingabe des Passworts in einem Feld neben dem OpenRouter-Key angezeigt werden.</t>
        </is>
      </c>
      <c r="F32" s="22" t="inlineStr">
        <is>
          <t>Ohne Passwort: nur „EU AI Act“ in der Datenbankleiste, leere Auswahl sendet databases=[EUAIA]. Falsches Passwort: keine Änderung. Richtiges Passwort + Save: alle neun Datenbanken. „Lock“: wieder nur EU AI Act.</t>
        </is>
      </c>
      <c r="G32" s="22" t="inlineStr">
        <is>
          <t>Frontend · Zugriff</t>
        </is>
      </c>
      <c r="H32" s="22" t="inlineStr">
        <is>
          <t>Hoch</t>
        </is>
      </c>
      <c r="I32" s="22" t="inlineStr">
        <is>
          <t>Erledigt</t>
        </is>
      </c>
      <c r="J32" s="22" t="inlineStr">
        <is>
          <t>Frontend-Filter (PUBLIC_DBS, applyDbGate, dbGateFilter, dbScope); Feld „Password“ + „Lock“ im Header; Freischaltung in localStorage. Headless-Browser-Test bestanden. Hinweis: kein Zugriffsschutz – die API liefert weiterhin alle Datenbanken, das Passwort steht im Frontend-Code.</t>
        </is>
      </c>
    </row>
    <row r="33" s="11">
      <c r="A33" s="22" t="inlineStr">
        <is>
          <t>REQ-53</t>
        </is>
      </c>
      <c r="B33" s="22" t="inlineStr">
        <is>
          <t>2026-10-30</t>
        </is>
      </c>
      <c r="C33" s="22" t="inlineStr">
        <is>
          <t>–</t>
        </is>
      </c>
      <c r="D33" s="22" t="inlineStr">
        <is>
          <t>ergänze nun als scientific paper zuir datenbank eu ai act folgende paper [1-s2.0-S0160791X25002544-main.pdf, Laux et al. 2023 Regulation &amp; Governance, s41649-024-00304-6.pdf] · später: „Die 3 forschungsartikel von eben sollen doch nicht in eder eu ei act datenbank sein.“</t>
        </is>
      </c>
      <c r="E33" s="22" t="inlineStr">
        <is>
          <t>Drei wissenschaftliche Artikel SOLLEN als Research papers der Datenbank „EU AI Act“ zugeordnet werden.</t>
        </is>
      </c>
      <c r="F33" s="22" t="inlineStr">
        <is>
          <t>–</t>
        </is>
      </c>
      <c r="G33" s="22" t="inlineStr">
        <is>
          <t>Daten</t>
        </is>
      </c>
      <c r="H33" s="22" t="inlineStr">
        <is>
          <t>Mittel</t>
        </is>
      </c>
      <c r="I33" s="22" t="inlineStr">
        <is>
          <t>Verworfen</t>
        </is>
      </c>
      <c r="J33" s="22" t="inlineStr">
        <is>
          <t>Vom Anfragenden zurückgezogen. Vorbereitete Dateien (research/EUAIA/papers/), Summaries und Code-Änderungen wurden wieder entfernt; der erste Artikel liegt unverändert in LDK.</t>
        </is>
      </c>
    </row>
    <row r="34" s="11">
      <c r="A34" s="22" t="inlineStr">
        <is>
          <t>REQ-54</t>
        </is>
      </c>
      <c r="B34" s="22" t="inlineStr">
        <is>
          <t>2026-10-30</t>
        </is>
      </c>
      <c r="C34" s="22" t="inlineStr">
        <is>
          <t>3.5.1</t>
        </is>
      </c>
      <c r="D34" s="22" t="inlineStr">
        <is>
          <t>entferne die möglichkeit neue datenbanken anlegen zu können über das interface</t>
        </is>
      </c>
      <c r="E34" s="22" t="inlineStr">
        <is>
          <t>Das Interface DARF NICHT die Möglichkeit bieten, neue Datenbanken anzulegen; der Button „+ Add new data“ in der Datenbankleiste MUSS entfernt werden.</t>
        </is>
      </c>
      <c r="F34" s="22" t="inlineStr">
        <is>
          <t>Datenbankleiste ohne „+ Add new data“; keine Stelle im Interface legt Datenbanken an; Hochladen in bestehende Datenbanken über Documents → + Upload funktioniert weiter.</t>
        </is>
      </c>
      <c r="G34" s="22" t="inlineStr">
        <is>
          <t>Frontend</t>
        </is>
      </c>
      <c r="H34" s="22" t="inlineStr">
        <is>
          <t>Mittel</t>
        </is>
      </c>
      <c r="I34" s="22" t="inlineStr">
        <is>
          <t>Erledigt</t>
        </is>
      </c>
      <c r="J34" s="22" t="inlineStr">
        <is>
          <t>Button entfernt, Handbuch und Quick Reference angepasst. Headless-Browser-Test bestanden. Datenbanken waren schon vorher fest im Backend konfiguriert.</t>
        </is>
      </c>
    </row>
    <row r="35" s="11">
      <c r="A35" s="22" t="inlineStr">
        <is>
          <t>REQ-55</t>
        </is>
      </c>
      <c r="B35" s="22" t="inlineStr">
        <is>
          <t>2026-10-30</t>
        </is>
      </c>
      <c r="C35" s="22" t="inlineStr">
        <is>
          <t>3.6.0</t>
        </is>
      </c>
      <c r="D35" s="22" t="inlineStr">
        <is>
          <t>Mach eine neue datenbank mit diesen papern. nenn sie wachter [Laux et al. 2023/2024, Regulation &amp; Governance; s41649-024-00304-6.pdf]</t>
        </is>
      </c>
      <c r="E35" s="22" t="inlineStr">
        <is>
          <t>Es MUSS eine neue Datenbank „Wachter“ geben, die die beiden Paper (Laux, Wachter &amp; Mittelstadt 2024; Ho &amp; Caals 2024) als Research papers enthält.</t>
        </is>
      </c>
      <c r="F35" s="22" t="inlineStr">
        <is>
          <t>Datenbankleiste (mit Passwort) zeigt „Wachter“ mit eigenem Symbol und Farbe; nach „ingest all /research“ enthält Wachter 2 Paper mit kuratierter Summary, Titel, Autoren und Datum; Chat mit Auswahl Wachter findet Inhalte beider Paper.</t>
        </is>
      </c>
      <c r="G35" s="22" t="inlineStr">
        <is>
          <t>Backend · Frontend · Daten</t>
        </is>
      </c>
      <c r="H35" s="22" t="inlineStr">
        <is>
          <t>Mittel</t>
        </is>
      </c>
      <c r="I35" s="22" t="inlineStr">
        <is>
          <t>In Arbeit</t>
        </is>
      </c>
      <c r="J35" s="22" t="inlineStr">
        <is>
          <t>ID WACHTER in config.py, .env.example, databases.js, CSS; research/WACHTER/papers/ mit _summaries.yaml. Offline geprüft (DB-Zuordnung, Summaries), Tests 95 passed, Browser-Test der Datenbankleiste. Ohne Passwort ausgeblendet (REQ-52). Einlesen per Docker ausstehend.</t>
        </is>
      </c>
    </row>
    <row r="36" s="11">
      <c r="A36" s="22" t="inlineStr">
        <is>
          <t>REQ-56</t>
        </is>
      </c>
      <c r="B36" s="22" t="inlineStr">
        <is>
          <t>2026-10-30</t>
        </is>
      </c>
      <c r="C36" s="22" t="inlineStr">
        <is>
          <t>3.6.1</t>
        </is>
      </c>
      <c r="D36" s="22" t="inlineStr">
        <is>
          <t>wachter soll auch defaukt sichtbar sein wie e aia ct</t>
        </is>
      </c>
      <c r="E36" s="22" t="inlineStr">
        <is>
          <t>Die Datenbank „Wachter“ MUSS wie „EU AI Act“ ohne Passwort sichtbar sein.</t>
        </is>
      </c>
      <c r="F36" s="22" t="inlineStr">
        <is>
          <t>Ohne Passwort zeigt die Datenbankleiste EU AI Act und Wachter; leere Auswahl sucht in beiden; mit Passwort alle Datenbanken.</t>
        </is>
      </c>
      <c r="G36" s="22" t="inlineStr">
        <is>
          <t>Frontend</t>
        </is>
      </c>
      <c r="H36" s="22" t="inlineStr">
        <is>
          <t>Mittel</t>
        </is>
      </c>
      <c r="I36" s="22" t="inlineStr">
        <is>
          <t>Erledigt</t>
        </is>
      </c>
      <c r="J36" s="22" t="inlineStr">
        <is>
          <t>PUBLIC_DBS um WACHTER ergänzt; Tooltips und Handbuch angepasst. Headless-Browser-Test bestanden.</t>
        </is>
      </c>
    </row>
    <row r="37" s="11">
      <c r="A37" s="22" t="inlineStr">
        <is>
          <t>REQ-57</t>
        </is>
      </c>
      <c r="B37" s="22" t="inlineStr">
        <is>
          <t>2026-10-31</t>
        </is>
      </c>
      <c r="C37" s="22" t="inlineStr">
        <is>
          <t>3.6.2</t>
        </is>
      </c>
      <c r="D37" s="22" t="inlineStr">
        <is>
          <t>Hide  the menues "ISO 42001/EU AI Act Docs" and "Technical Documentation" as well</t>
        </is>
      </c>
      <c r="E37" s="22" t="inlineStr">
        <is>
          <t>Die Reiter „ISO 42001/EUAIACT Docs“ und „Technical Documentation“ DÜRFEN ohne Passwort NICHT angezeigt werden; mit Passwort MÜSSEN sie wie bisher erscheinen.</t>
        </is>
      </c>
      <c r="F37" s="22" t="inlineStr">
        <is>
          <t>Ohne Passwort: vier Reiter (B, A/B, Documents, Release Notes); Links #compliance/#tech öffnen B. Mit Passwort: sechs Reiter. „Lock“ blendet beide wieder aus und verlässt einen geöffneten Doku-Reiter.</t>
        </is>
      </c>
      <c r="G37" s="22" t="inlineStr">
        <is>
          <t>Frontend</t>
        </is>
      </c>
      <c r="H37" s="22" t="inlineStr">
        <is>
          <t>Mittel</t>
        </is>
      </c>
      <c r="I37" s="22" t="inlineStr">
        <is>
          <t>Erledigt</t>
        </is>
      </c>
      <c r="J37" s="22" t="inlineStr">
        <is>
          <t>LOCKED_PAGES in databases.js, Umleitung in showPage, Lock-Pfad in setDbUnlocked. Headless-Browser-Test bestanden. Nur Anzeige: die Doku-APIs antworten weiter.</t>
        </is>
      </c>
    </row>
    <row r="38" s="11">
      <c r="A38" s="22" t="inlineStr">
        <is>
          <t>REQ-58</t>
        </is>
      </c>
      <c r="B38" s="22" t="inlineStr">
        <is>
          <t>2026-10-31</t>
        </is>
      </c>
      <c r="C38" s="22" t="inlineStr">
        <is>
          <t>3.6.3</t>
        </is>
      </c>
      <c r="D38" s="22" t="inlineStr">
        <is>
          <t>hide release notes as wel</t>
        </is>
      </c>
      <c r="E38" s="22" t="inlineStr">
        <is>
          <t>Der Reiter „Release Notes“ DARF ohne Passwort NICHT angezeigt werden; mit Passwort MUSS er wie bisher erscheinen.</t>
        </is>
      </c>
      <c r="F38" s="22" t="inlineStr">
        <is>
          <t>Ohne Passwort: drei Reiter (B, A/B, Documents), Versionsnummer öffnet keine Release Notes, #release-notes öffnet B. Mit Passwort: sechs Reiter, Versionsnummer öffnet die Release Notes.</t>
        </is>
      </c>
      <c r="G38" s="22" t="inlineStr">
        <is>
          <t>Frontend</t>
        </is>
      </c>
      <c r="H38" s="22" t="inlineStr">
        <is>
          <t>Mittel</t>
        </is>
      </c>
      <c r="I38" s="22" t="inlineStr">
        <is>
          <t>Erledigt</t>
        </is>
      </c>
      <c r="J38" s="22" t="inlineStr">
        <is>
          <t>„release“ in LOCKED_PAGES; Versions-Button ohne Passwort deaktiviert. Headless-Browser-Test bestanden. Nur Anzeige: /api/release-notes antwortet weiter.</t>
        </is>
      </c>
    </row>
    <row r="39" s="11">
      <c r="A39" s="22" t="inlineStr">
        <is>
          <t>REQ-59</t>
        </is>
      </c>
      <c r="B39" s="22" t="inlineStr">
        <is>
          <t>2026-10-31</t>
        </is>
      </c>
      <c r="C39" s="22" t="inlineStr">
        <is>
          <t>3.7.0</t>
        </is>
      </c>
      <c r="D39" s="22" t="inlineStr">
        <is>
          <t>Make cluster analysis for eu ai act and wachter database together. I want to selecte from a drop down that I want to compare these 2 datgabases cluster. then these cluster relations are also decpited on the image that is already there. Please completely remove [the standard] from everywhere. then after that refactor the whole code basis. The goal is that I can use the chat graph to requery inside the clusters across databsaes</t>
        </is>
      </c>
      <c r="E39" s="22" t="inlineStr">
        <is>
          <t>Die Cluster von „EU AI Act“ und „Wachter“ MÜSSEN gemeinsam analysiert werden können: über ein Dropdown wird ein Datenbankpaar zum Vergleich gewählt; die Beziehungen zwischen den Clustern beider Datenbanken MÜSSEN in der bestehenden Wissenskarte dargestellt werden. Der Graph Chat MUSS in den ausgewählten Clustern über Datenbankgrenzen hinweg erneut suchen können.</t>
        </is>
      </c>
      <c r="F39" s="22" t="inlineStr">
        <is>
          <t>Dropdown „Compare“ zeigt „EU AI Act ↔ Wachter“; nach Auswahl violette gestrichelte Linien mit Ähnlichkeit zwischen Clustern beider Datenbanken (2D und 3D); „Select“/„Ask“ bzw. Klick auf eine Linie wählt beide Cluster; Graph-Chat-Anfrage enthält beide Datenbanken und beide Cluster, Treffer aus beiden Datenbanken.</t>
        </is>
      </c>
      <c r="G39" s="22" t="inlineStr">
        <is>
          <t>Backend · Frontend · Graph Chat</t>
        </is>
      </c>
      <c r="H39" s="22" t="inlineStr">
        <is>
          <t>Hoch</t>
        </is>
      </c>
      <c r="I39" s="22" t="inlineStr">
        <is>
          <t>Erledigt</t>
        </is>
      </c>
      <c r="J39" s="22" t="inlineStr">
        <is>
          <t>/api/clusters/relations (Zentroid-Ähnlichkeit, Brücken), cluster_relations.py, cluster-compare.js, Graph Chat retrieve_across (je Datenbank suchen, abwechselnd zusammenführen) + Beziehungen im Prompt. Live: C6 ↔ C8 0,76; C7 ↔ C8 0,33. Tests 188 passed; Headless-Browser-Test bestanden.</t>
        </is>
      </c>
    </row>
    <row r="40" s="11">
      <c r="A40" s="22" t="inlineStr">
        <is>
          <t>REQ-60</t>
        </is>
      </c>
      <c r="B40" s="22" t="inlineStr">
        <is>
          <t>2026-10-31</t>
        </is>
      </c>
      <c r="C40" s="22" t="inlineStr">
        <is>
          <t>3.7.0</t>
        </is>
      </c>
      <c r="D40" s="22" t="inlineStr">
        <is>
          <t>Make cluster analysis for eu ai act and wachter database together. I want to selecte from a drop down that I want to compare these 2 datgabases cluster. then these cluster relations are also decpited on the image that is already there. Please completely remove [the standard] from everywhere. then after that refactor the whole code basis. The goal is that I can use the chat graph to requery inside the clusters across databsaes</t>
        </is>
      </c>
      <c r="E40" s="22" t="inlineStr">
        <is>
          <t>Der in 3.3.1 aufgenommene Standard DARF an keiner Stelle mehr vorkommen: nicht im Datenordner, nicht im Index (Qdrant, Graph, Modellablage), nicht in Code, Tests, Dokumentation, Release Notes und Anforderungsprotokoll.</t>
        </is>
      </c>
      <c r="F40" s="22" t="inlineStr">
        <is>
          <t>Suche nach Name/Nummer des Standards im Repository, im Datenordner und im lokalen Index ohne Treffer; die Parser-Funktionen und das Entfernen von Lizenzstempeln bleiben.</t>
        </is>
      </c>
      <c r="G40" s="22" t="inlineStr">
        <is>
          <t>Daten · Backend · Doku</t>
        </is>
      </c>
      <c r="H40" s="22" t="inlineStr">
        <is>
          <t>Hoch</t>
        </is>
      </c>
      <c r="I40" s="22" t="inlineStr">
        <is>
          <t>Erledigt</t>
        </is>
      </c>
      <c r="J40" s="22" t="inlineStr">
        <is>
          <t>Datei und _legal.yaml-Eintrag gelöscht; Erwähnungen entfernt (CHANGELOG, README, Status, Log, Testdaten, Kommentare); 141 Stellen + Dokument aus Qdrant gelöscht, veraltete Clustertexte geleert; neues Kommando ingest delete --norm für Neo4j und Modellablage. Exporte im Download-Ordner bereinigt.</t>
        </is>
      </c>
    </row>
    <row r="41" s="11">
      <c r="A41" s="22" t="inlineStr">
        <is>
          <t>REQ-61</t>
        </is>
      </c>
      <c r="B41" s="22" t="inlineStr">
        <is>
          <t>2026-10-31</t>
        </is>
      </c>
      <c r="C41" s="22" t="inlineStr">
        <is>
          <t>3.7.0 –</t>
        </is>
      </c>
      <c r="D41" s="22" t="inlineStr">
        <is>
          <t>Make cluster analysis for eu ai act and wachter database together. I want to selecte from a drop down that I want to compare these 2 datgabases cluster. then these cluster relations are also decpited on the image that is already there. Please completely remove [the standard] from everywhere. then after that refactor the whole code basis. The goal is that I can use the chat graph to requery inside the clusters across databsaes</t>
        </is>
      </c>
      <c r="E41" s="22" t="inlineStr">
        <is>
          <t>Die Codebasis SOLL schrittweise (mehrere PRs) refaktoriert werden, mit dem Ziel, dass der Graph Chat innerhalb von Clustern über Datenbanken hinweg erneut suchen kann; das Verhalten DARF sich je Stufe nicht ungewollt ändern.</t>
        </is>
      </c>
      <c r="F41" s="22" t="inlineStr">
        <is>
          <t>Plan mit Stufen in docs/technical/architecture/01-refactoring-plan.md; jede Stufe ein PR mit grüner CI und unveränderten Tests.</t>
        </is>
      </c>
      <c r="G41" s="22" t="inlineStr">
        <is>
          <t>Architektur</t>
        </is>
      </c>
      <c r="H41" s="22" t="inlineStr">
        <is>
          <t>Mittel</t>
        </is>
      </c>
      <c r="I41" s="22" t="inlineStr">
        <is>
          <t>In Arbeit</t>
        </is>
      </c>
      <c r="J41" s="22" t="inlineStr">
        <is>
          <t>Stufe 0 in 3.7.0 (eigene Module für den Datenbankvergleich); Stufen 1–5 folgen.</t>
        </is>
      </c>
    </row>
    <row r="42" s="11">
      <c r="A42" s="22" t="inlineStr">
        <is>
          <t>REQ-62</t>
        </is>
      </c>
      <c r="B42" s="22" t="inlineStr">
        <is>
          <t>2026-10-31</t>
        </is>
      </c>
      <c r="C42" s="22" t="inlineStr">
        <is>
          <t>3.7.1</t>
        </is>
      </c>
      <c r="D42" s="22" t="inlineStr">
        <is>
          <t>[Screenshot: „Window to the outside“ und B-Erklärung eingekreist, Pfeile in die freie Fläche der Datenbankleiste] · „it should be three own boxes not two boxes witrhin a box“</t>
        </is>
      </c>
      <c r="E42" s="22" t="inlineStr">
        <is>
          <t>Auf der B-Seite MÜSSEN „Window to the outside“ und die B-Erklärung neben der Datenbankleiste stehen – als drei eigene Kästen in einer Zeile, nicht als Kästen innerhalb der Datenbankleiste.</t>
        </is>
      </c>
      <c r="F42" s="22" t="inlineStr">
        <is>
          <t>B-Seite: Datenbankleiste, „Window to the outside“, B-Erklärung als drei Kästen nebeneinander; keine eigene Zeile darunter; andere Seiten: nur die Datenbankleiste in voller Breite; Pop-up öffnet weiter.</t>
        </is>
      </c>
      <c r="G42" s="22" t="inlineStr">
        <is>
          <t>Frontend</t>
        </is>
      </c>
      <c r="H42" s="22" t="inlineStr">
        <is>
          <t>Mittel</t>
        </is>
      </c>
      <c r="I42" s="22" t="inlineStr">
        <is>
          <t>Erledigt</t>
        </is>
      </c>
      <c r="J42" s="22" t="inlineStr">
        <is>
          <t>.bar-row in index.html/tiles.css, #bTop nur auf B (showPage). Erster Entwurf (in der Leiste) auf Rückmeldung zu drei eigenen Kästen geändert. Lokal und headless geprüft.</t>
        </is>
      </c>
    </row>
    <row r="43" s="11">
      <c r="A43" s="22" t="inlineStr">
        <is>
          <t>REQ-63</t>
        </is>
      </c>
      <c r="B43" s="22" t="inlineStr">
        <is>
          <t>2026-10-31</t>
        </is>
      </c>
      <c r="C43" s="22" t="inlineStr">
        <is>
          <t>3.7.2</t>
        </is>
      </c>
      <c r="D43" s="22" t="inlineStr">
        <is>
          <t>on the bottom it should be 3 columns of the boxes not one big on the left und two under each other on the right. then the left box whne clixking enlarge a separate window opes</t>
        </is>
      </c>
      <c r="E43" s="22" t="inlineStr">
        <is>
          <t>Die B-Seite MUSS Wissenskarte, „Projects &amp; clusters“ und Graph Chat in drei Spalten nebeneinander zeigen. „Enlarge“ an der Wissenskarte MUSS ein eigenes Fenster öffnen.</t>
        </is>
      </c>
      <c r="F43" s="22" t="inlineStr">
        <is>
          <t>Bei Desktop-Breite drei gleich hohe Spalten; „Enlarge“ öffnet ein Browserfenster nur mit der Wissenskarte; dort gewählte Cluster gelten für die Chats im Hauptfenster und umgekehrt; bei blockiertem Pop-up Vergrößerung über der Seite.</t>
        </is>
      </c>
      <c r="G43" s="22" t="inlineStr">
        <is>
          <t>Frontend</t>
        </is>
      </c>
      <c r="H43" s="22" t="inlineStr">
        <is>
          <t>Mittel</t>
        </is>
      </c>
      <c r="I43" s="22" t="inlineStr">
        <is>
          <t>Erledigt</t>
        </is>
      </c>
      <c r="J43" s="22" t="inlineStr">
        <is>
          <t>Grid map|cluster|chat; map-window.js mit ?view=map und BroadcastChannel. Lokal und headless geprüft.</t>
        </is>
      </c>
    </row>
    <row r="44" s="11">
      <c r="A44" s="22" t="inlineStr">
        <is>
          <t>REQ-64</t>
        </is>
      </c>
      <c r="B44" s="22" t="inlineStr">
        <is>
          <t>2026-10-31</t>
        </is>
      </c>
      <c r="C44" s="22" t="inlineStr">
        <is>
          <t>3.7.3</t>
        </is>
      </c>
      <c r="D44" s="22" t="inlineStr">
        <is>
          <t>make the input area larger [Screenshot: Eingabefeld des Graph Chat]</t>
        </is>
      </c>
      <c r="E44" s="22" t="inlineStr">
        <is>
          <t>Das Eingabefeld der Chats MUSS größer sein.</t>
        </is>
      </c>
      <c r="F44" s="22" t="inlineStr">
        <is>
          <t>Leeres Feld mindestens vier Zeilen hoch; wächst mit dem Text; nach dem Senden wieder klein.</t>
        </is>
      </c>
      <c r="G44" s="22" t="inlineStr">
        <is>
          <t>Frontend</t>
        </is>
      </c>
      <c r="H44" s="22" t="inlineStr">
        <is>
          <t>Mittel</t>
        </is>
      </c>
      <c r="I44" s="22" t="inlineStr">
        <is>
          <t>Erledigt</t>
        </is>
      </c>
      <c r="J44" s="22" t="inlineStr">
        <is>
          <t>min 104 px, max 280 px, vergrößerbar; beide Chats. Lokal geprüft.</t>
        </is>
      </c>
    </row>
    <row r="45" s="11">
      <c r="A45" s="22" t="inlineStr">
        <is>
          <t>REQ-65</t>
        </is>
      </c>
      <c r="B45" s="22" t="inlineStr">
        <is>
          <t>2026-10-31</t>
        </is>
      </c>
      <c r="C45" s="22" t="inlineStr">
        <is>
          <t>3.7.3</t>
        </is>
      </c>
      <c r="D45" s="22" t="inlineStr">
        <is>
          <t>extend the first box [Screenshot: Datenbankleiste, Pfeil nach rechts bis zum Rand der Wissenskarte]</t>
        </is>
      </c>
      <c r="E45" s="22" t="inlineStr">
        <is>
          <t>Die Datenbankleiste (erster Kasten) MUSS auf der B-Seite bis zur Breite der Wissenskarten-Spalte reichen.</t>
        </is>
      </c>
      <c r="F45" s="22" t="inlineStr">
        <is>
          <t>Rechte Kante der Datenbankleiste fluchtet mit der Wissenskarte; Fenster und Erklärung über den beiden anderen Spalten.</t>
        </is>
      </c>
      <c r="G45" s="22" t="inlineStr">
        <is>
          <t>Frontend</t>
        </is>
      </c>
      <c r="H45" s="22" t="inlineStr">
        <is>
          <t>Mittel</t>
        </is>
      </c>
      <c r="I45" s="22" t="inlineStr">
        <is>
          <t>Erledigt</t>
        </is>
      </c>
      <c r="J45" s="22" t="inlineStr">
        <is>
          <t>.bar-row als Grid mit denselben Spalten wie die B-Seite. Lokal und headless geprüft.</t>
        </is>
      </c>
    </row>
    <row r="46" s="11">
      <c r="A46" s="22" t="inlineStr">
        <is>
          <t>REQ-66</t>
        </is>
      </c>
      <c r="B46" s="22" t="inlineStr">
        <is>
          <t>2026-10-31</t>
        </is>
      </c>
      <c r="C46" s="22" t="inlineStr">
        <is>
          <t>–</t>
        </is>
      </c>
      <c r="D46" s="22" t="inlineStr">
        <is>
          <t>OpenRouter key is default set but can also be entered another one: [Key im Chat genannt, hier nicht protokolliert] · später: „ok then reverese the last step“</t>
        </is>
      </c>
      <c r="E46" s="22" t="inlineStr">
        <is>
          <t>Die Instanz SOLL einen Standard-OpenRouter-Key haben können; ein im Interface eingetragener Key hat Vorrang.</t>
        </is>
      </c>
      <c r="F46" s="22" t="inlineStr">
        <is>
          <t>–</t>
        </is>
      </c>
      <c r="G46" s="22" t="inlineStr">
        <is>
          <t>Backend · Frontend · Sicherheit</t>
        </is>
      </c>
      <c r="H46" s="22" t="inlineStr">
        <is>
          <t>Hoch</t>
        </is>
      </c>
      <c r="I46" s="22" t="inlineStr">
        <is>
          <t>Verworfen</t>
        </is>
      </c>
      <c r="J46" s="22" t="inlineStr">
        <is>
          <t>Als 3.8.0 umgesetzt und auf Wunsch per Revert zurückgenommen; es bleibt dabei, dass jede Person ihren eigenen Key einträgt.</t>
        </is>
      </c>
    </row>
    <row r="47" s="11">
      <c r="A47" s="22" t="inlineStr">
        <is>
          <t>REQ-67</t>
        </is>
      </c>
      <c r="B47" s="22" t="inlineStr">
        <is>
          <t>2026-10-31</t>
        </is>
      </c>
      <c r="C47" s="22" t="inlineStr">
        <is>
          <t>3.9.0</t>
        </is>
      </c>
      <c r="D47" s="22" t="inlineStr">
        <is>
          <t>Mehrwehrt entsteht wenn ich auch basierend auf dem was ich auf dem clusterbild sehe fragen stellen kann zu den zusammenhängen. also muss ja irghendwie über die onotolgie die text chunkjs angeteuer werden weisst du wie ich meine: [Screenshot: Graph Chat beantwortet „please describe the link between c8 and c9“ nur aus dem Weißbuch, Scope „project EU-AI-Act“]</t>
        </is>
      </c>
      <c r="E47" s="22" t="inlineStr">
        <is>
          <t>Der Graph Chat MUSS Fragen zu den in der Wissenskarte sichtbaren Zusammenhängen beantworten können: in der Frage genannte Cluster MÜSSEN der Suchraum sein (auch über Datenbanken und trotz gewähltem Projekt), und der Weg zu den Textstellen MUSS über die Ontologie führen (Cluster → Dokument → Abschnitt mit DEO-Rolle/Rechtsbestandteil → Textstelle).</t>
        </is>
      </c>
      <c r="F47" s="22" t="inlineStr">
        <is>
          <t>„describe the link between C8 and C9“ liefert Quellen aus beiden Clustern und Brücken-Stellen (ähnlichste Stellen über die Clustergrenze) mit Ähnlichkeit; der Graphpfad zeigt Cluster → Dokument → Abschnitt ↔ Abschnitt → Dokument → Cluster; die Antwort vergleicht beide Seiten.</t>
        </is>
      </c>
      <c r="G47" s="22" t="inlineStr">
        <is>
          <t>Graph Chat · Backend · Ontologie</t>
        </is>
      </c>
      <c r="H47" s="22" t="inlineStr">
        <is>
          <t>Hoch</t>
        </is>
      </c>
      <c r="I47" s="22" t="inlineStr">
        <is>
          <t>Erledigt</t>
        </is>
      </c>
      <c r="J47" s="22" t="inlineStr">
        <is>
          <t>cluster_query.py (named_clusters, profiles, bridge_passages, bridge_path), Graph Chat Cluster-Modus, store.chunk_vectors. Live-Daten: Stellen aus C8 finden ihre Partner in C9 (z. B. 0,64). Tests 191 passed.</t>
        </is>
      </c>
    </row>
    <row r="48">
      <c r="A48" s="22" t="inlineStr">
        <is>
          <t>REQ-68</t>
        </is>
      </c>
      <c r="B48" s="22" t="inlineStr">
        <is>
          <t>2026-10-31</t>
        </is>
      </c>
      <c r="C48" s="22" t="inlineStr">
        <is>
          <t>3.10.0</t>
        </is>
      </c>
      <c r="D48" s="22" t="inlineStr">
        <is>
          <t>ja bitte mach den nächstne schritt [Antwort auf das Angebot: echte Kanten im Wissensgraphen von einem Paper zu den Artikeln, die es diskutiert, z. B. Laux et al. → Art. 33]</t>
        </is>
      </c>
      <c r="E48" s="22" t="inlineStr">
        <is>
          <t>ALITA MUSS Verweise in Papern, Notizen und Projektdateien auf Artikel, Absätze, Anhänge und Erwägungsgründe eines Gesetzes der Sammlung als Kanten Dokument –discusses→ Bestandteil im Wissensgraphen speichern. Die zitierte Nummer MUSS der Fassung zugeordnet werden, auf die sich das Paper bezieht, und auf die geltende Nummer abgebildet werden. Verweise auf andere Rechtsakte DÜRFEN NICHT verknüpft werden. Der Graph Chat MUSS diese Kanten nutzen.</t>
        </is>
      </c>
      <c r="F48" s="22" t="inlineStr">
        <is>
          <t>Laux, Wachter &amp; Mittelstadt: Art. 33 des Vorschlags 2021 → heute Art. 31 („Requirements relating to notified bodies“), Erwägungsgrund 27 → 46; Ho &amp; Caals: Nummern der verabschiedeten Fassung; „Article 2 of the Treaty on European Union“ wird nicht verknüpft. Frage „What do the papers say about Art. 31?“ bzw. „link between C8 and C9“ liefert Paper-Stellen und den geltenden Wortlaut; Graphpfad Cluster → Paper → discusses → Artikel → Gesetz → Cluster; Dokumentdetails zeigen „Discusses“.</t>
        </is>
      </c>
      <c r="G48" s="22" t="inlineStr">
        <is>
          <t>Graph · Backend · Ontologie · Graph Chat</t>
        </is>
      </c>
      <c r="H48" s="22" t="inlineStr">
        <is>
          <t>Hoch</t>
        </is>
      </c>
      <c r="I48" s="22" t="inlineStr">
        <is>
          <t>Erledigt</t>
        </is>
      </c>
      <c r="J48" s="22" t="inlineStr">
        <is>
          <t>provisions.py (find_refs, Resolver, link_document, rebuild, chat_scope, chat_passages); Payload discusses/provisions; Neo4j DISCUSSES/REFERS_TO; GET /api/provisions, POST /api/provisions/rebuild, CLI ingest provisions, automatisch nach jeder Ingestion. Offline mit den vier Fassungen des AI Act und beiden Wachter-Papern geprüft. Tests 198 passed.</t>
        </is>
      </c>
    </row>
    <row r="49">
      <c r="A49" s="22" t="inlineStr">
        <is>
          <t>REQ-69</t>
        </is>
      </c>
      <c r="B49" s="22" t="inlineStr">
        <is>
          <t>2026-10-31</t>
        </is>
      </c>
      <c r="C49" s="22" t="inlineStr">
        <is>
          <t>3.11.0</t>
        </is>
      </c>
      <c r="D49" s="22" t="inlineStr">
        <is>
          <t>ja mach diesen schtizz [Antwort auf das Angebot: in der Gesetzesansicht je Artikel anzeigen, welche Paper ihn diskutieren]</t>
        </is>
      </c>
      <c r="E49" s="22" t="inlineStr">
        <is>
          <t>Die Ansicht einer Gesetzesfassung MUSS je Artikel, Anhang und Erwägungsgrund die Paper zeigen, die ihn diskutieren – in der Nummerierung dieser Fassung, auch wenn ein Paper eine andere Fassung zitiert. Paper aus nicht sichtbaren Datenbanken DÜRFEN NICHT erscheinen. Von dort SOLL man das Paper öffnen und den Graph Chat fragen können.</t>
        </is>
      </c>
      <c r="F49" s="22" t="inlineStr">
        <is>
          <t>Dokumentdetails „AI Act – Proposal“: Art. 33 „Notified bodies“ zeigt Laux et al. (4×, Art. 33(4)); in der konsolidierten Fassung erscheinen sie unter Art. 31 mit „cited as Art. 33 of the proposal“; Klick öffnet das Paper; „Ask“ schreibt „What do the papers say about Art. 31 of the AI Act (numbered 33 in the proposal)?“ in den Graph Chat.</t>
        </is>
      </c>
      <c r="G49" s="22" t="inlineStr">
        <is>
          <t>Rechtstexte · Frontend · Backend</t>
        </is>
      </c>
      <c r="H49" s="22" t="inlineStr">
        <is>
          <t>Mittel</t>
        </is>
      </c>
      <c r="I49" s="22" t="inlineStr">
        <is>
          <t>Erledigt</t>
        </is>
      </c>
      <c r="J49" s="22" t="inlineStr">
        <is>
          <t>provisions.discussed_in (Rück-Konkordanz heutige Nummer → Nummer der Fassung), GET /api/legal/norms/{id}/discussed?seq=, legal.js loadLegalDiscussed. Offline: konsolidiert 72, Vorschlag 42 Bestimmungen mit Papern; Headless-Browser-Test. Tests 199 passed.</t>
        </is>
      </c>
    </row>
    <row r="50">
      <c r="A50" s="22" t="inlineStr">
        <is>
          <t>REQ-70</t>
        </is>
      </c>
      <c r="B50" s="22" t="inlineStr">
        <is>
          <t>2026-10-31</t>
        </is>
      </c>
      <c r="C50" s="22" t="inlineStr">
        <is>
          <t>3.12.0</t>
        </is>
      </c>
      <c r="D50" s="22" t="inlineStr">
        <is>
          <t>Can you add a button in alita like "showing tour" or better suitet name that when clicking on it it guides you</t>
        </is>
      </c>
      <c r="E50" s="22" t="inlineStr">
        <is>
          <t>ALITA MUSS einen gut sichtbaren Knopf haben, der eine geführte Tour startet. Die Tour MUSS Schritt für Schritt die wichtigsten Teile zeigen (entlang der Mechanismen aus dem Forschungsantrag: Erinnerung auffrischen vertikal/horizontal, Nachvollziehbarkeit, Schemata aktualisieren) und SOLL Beispielfragen direkt in den Graph Chat übernehmen können. Sie MUSS ohne Passwort mit den öffentlichen Datenbanken funktionieren.</t>
        </is>
      </c>
      <c r="F50" s="22" t="inlineStr">
        <is>
          <t>Klick auf „▶ Guided tour“ öffnet Schritt 1; Weiter/Zurück/Schließen und Tasten → ← Esc funktionieren; jeder Schritt wechselt auf die richtige Seite und hebt die erklärte Stelle hervor; „Put into Graph Chat“ setzt die Beispielfrage ins Eingabefeld, „Ask now“ sendet sie; keine Fehler in der Konsole.</t>
        </is>
      </c>
      <c r="G50" s="22" t="inlineStr">
        <is>
          <t>Frontend · Onboarding</t>
        </is>
      </c>
      <c r="H50" s="22" t="inlineStr">
        <is>
          <t>Mittel</t>
        </is>
      </c>
      <c r="I50" s="22" t="inlineStr">
        <is>
          <t>Erledigt</t>
        </is>
      </c>
      <c r="J50" s="22" t="inlineStr">
        <is>
          <t>frontend/js/tour.js, css/tour.css, Knopf #tourBtn; Cluster-Nummern und Beispielprojekt aus den aktuellen Daten; ?tour=1. Headless-Browser-Test auf den Demodaten: 11 Schritte, alle Ziele gefunden, Fenster immer im Bild, keine Fehler.</t>
        </is>
      </c>
    </row>
    <row r="51">
      <c r="A51" s="22" t="inlineStr">
        <is>
          <t>REQ-71</t>
        </is>
      </c>
      <c r="B51" s="22" t="inlineStr">
        <is>
          <t>2026-10-31</t>
        </is>
      </c>
      <c r="C51" s="22" t="inlineStr">
        <is>
          <t>3.12.0</t>
        </is>
      </c>
      <c r="D51" s="22" t="inlineStr">
        <is>
          <t>update the github reposity: https://github.com/ProDigi-Repo/ALITA</t>
        </is>
      </c>
      <c r="E51" s="22" t="inlineStr">
        <is>
          <t>Der Stand 3.6.2 – 3.12.0 MUSS im GitHub-Repository auf main ankommen; PR #9 MUSS vor PR #10 gemergt werden.</t>
        </is>
      </c>
      <c r="F51" s="22" t="inlineStr">
        <is>
          <t>main enthält VERSION 3.12.0; CI auf main grün.</t>
        </is>
      </c>
      <c r="G51" s="22" t="inlineStr">
        <is>
          <t>Repository · Release</t>
        </is>
      </c>
      <c r="H51" s="22" t="inlineStr">
        <is>
          <t>Hoch</t>
        </is>
      </c>
      <c r="I51" s="22" t="inlineStr">
        <is>
          <t>In Arbeit</t>
        </is>
      </c>
      <c r="J51" s="22" t="inlineStr">
        <is>
          <t>Alles auf die PR-Branches gepusht, PR-Beschreibungen aktuell, CI grün. Der Merge nach main ohne Review war für Claude gesperrt – Merge durch einen Maintainer.</t>
        </is>
      </c>
    </row>
    <row r="52">
      <c r="A52" s="22" t="inlineStr">
        <is>
          <t>REQ-72</t>
        </is>
      </c>
      <c r="B52" s="22" t="inlineStr">
        <is>
          <t>2026-10-31</t>
        </is>
      </c>
      <c r="C52" s="22" t="inlineStr">
        <is>
          <t>Unreleased</t>
        </is>
      </c>
      <c r="D52" s="22" t="inlineStr">
        <is>
          <t>add a mIT licencse</t>
        </is>
      </c>
      <c r="E52" s="22" t="inlineStr">
        <is>
          <t>Das Repository MUSS eine MIT-Lizenzdatei enthalten; das README SOLL auf sie verweisen und klarstellen, dass eingelesene Dokumente ihre eigenen Lizenzen behalten.</t>
        </is>
      </c>
      <c r="F52" s="22" t="inlineStr">
        <is>
          <t>LICENSE mit dem MIT-Text im Wurzelverzeichnis; GitHub zeigt „MIT license“; README-Abschnitt „Lizenz“.</t>
        </is>
      </c>
      <c r="G52" s="22" t="inlineStr">
        <is>
          <t>Repository · Recht</t>
        </is>
      </c>
      <c r="H52" s="22" t="inlineStr">
        <is>
          <t>Mittel</t>
        </is>
      </c>
      <c r="I52" s="22" t="inlineStr">
        <is>
          <t>Erledigt</t>
        </is>
      </c>
      <c r="J52" s="22" t="inlineStr">
        <is>
          <t>LICENSE (Copyright 2026 ProDigi-Repo – ALITA contributors), README-Abschnitt, CHANGELOG [Unreleased]. Im PR #10, landet mit dem Merge auf main.</t>
        </is>
      </c>
    </row>
  </sheetData>
  <autoFilter ref="A1:J14"/>
  <dataValidations count="2">
    <dataValidation sqref="I2:I500" showDropDown="0" showInputMessage="0" showErrorMessage="0" allowBlank="1" type="list" errorStyle="stop" operator="between">
      <formula1>"Offen,In Arbeit,Erledigt,Abweichung,Ersetzt,Verworfen"</formula1>
      <formula2>0</formula2>
    </dataValidation>
    <dataValidation sqref="H2:H500" showDropDown="0" showInputMessage="0" showErrorMessage="0" allowBlank="1" type="list" errorStyle="stop" operator="between">
      <formula1>"Hoch,Mittel,Niedrig"</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A3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10" min="1" max="1"/>
  </cols>
  <sheetData>
    <row r="1" ht="23.85" customHeight="1" s="11">
      <c r="A1" s="24" t="inlineStr">
        <is>
          <t>Requirements-Log ALITA – seit der Sitzung vom 17.10.2026 wird jede Anfrage als eigene Zeile im Blatt „Requirements-Log“ ergänzt und zusätzlich im Blatt „Requirements“ geführt.</t>
        </is>
      </c>
    </row>
    <row r="2" ht="23.85" customHeight="1" s="11">
      <c r="A2" s="24" t="inlineStr">
        <is>
          <t>„Requirements“: alle Anforderungen mit Status, Release und Umsetzung (REQ-01 – REQ-21 aus dem Review von 2.0.0, ab REQ-22 aus den Sitzungen). Status bitte aus der Auswahlliste wählen – die Übersicht zählt danach.</t>
        </is>
      </c>
    </row>
    <row r="3" ht="15" customHeight="1" s="11">
      <c r="A3" s="24" t="inlineStr">
        <is>
          <t>„Requirements-Log“: die Anfrage im Wortlaut, als Requirement formuliert (MUSS/SOLL/DARF NICHT) und das Akzeptanzkriterium.</t>
        </is>
      </c>
    </row>
    <row r="4" ht="15" customHeight="1" s="11">
      <c r="A4" s="24" t="inlineStr">
        <is>
          <t>Die Versionsangabe 2.0.1 aus der Sitzung wurde beim Release zu 2.1.0 (neue, rückwärtskompatible Funktionen → Minor-Version nach SemVer).</t>
        </is>
      </c>
    </row>
    <row r="5" ht="15" customHeight="1" s="11">
      <c r="A5" s="24" t="inlineStr">
        <is>
          <t>Quelle des Textes für REQ-01 – REQ-21: docs/requirements-status.md (dort auf Englisch); Release Notes: CHANGELOG.md, Abschnitt [2.1.0].</t>
        </is>
      </c>
    </row>
    <row r="6" ht="15" customHeight="1" s="11">
      <c r="A6" s="24" t="inlineStr">
        <is>
          <t>Release 2.2.0 (29.10.2026): REQ-35 (BIBO und Zitationsnetz) erledigt; REQ-36 (Ontologie-Änderungen ohne Neu-Embedding) beantwortet, allgemeiner Relabel-Befehl offen. Release Notes: CHANGELOG.md, Abschnitt [2.2.0].</t>
        </is>
      </c>
    </row>
    <row r="7">
      <c r="A7" s="24" t="inlineStr">
        <is>
          <t>Release 3.0.0 (29.10.2026, Major): REQ-37 (zeitliche Erweiterung nach SAT-Graph RAG), REQ-38 (Legal-Ontologie, neue Dokumenttypen), REQ-39 (Datenbank „EU AI Act“), REQ-40 (zitierfähige Ontologien) erledigt. Release Notes: CHANGELOG.md, Abschnitt [3.0.0].</t>
        </is>
      </c>
    </row>
    <row r="8">
      <c r="A8" s="24" t="inlineStr">
        <is>
          <t>Release 3.0.1 (29.10.2026, Patch): REQ-41 (erstes Legal project – Kommissionsvorschlag des AI Act mit Anhängen) vorbereitet und offline geprüft; Einlesen per Docker ausstehend. Release Notes: CHANGELOG.md, Abschnitt [3.0.1].</t>
        </is>
      </c>
    </row>
    <row r="9">
      <c r="A9" s="24" t="inlineStr">
        <is>
          <t>Release 3.0.2 (29.10.2026, Patch): REQ-41 erledigt (AI-Act-Vorschlag eingelesen); REQ-42 (Clustering nach dem Einlesen nur für die betroffenen Datenbanken) erledigt. Release Notes: CHANGELOG.md, Abschnitt [3.0.2].</t>
        </is>
      </c>
    </row>
    <row r="10">
      <c r="A10" s="24" t="inlineStr">
        <is>
          <t>Release 3.1.0 (29.10.2026, Minor): REQ-43 (Kompromissänderungen IMCO/LIBE als Teilfassung des AI Act) vorbereitet und offline geprüft; Einlesen per Docker ausstehend. Release Notes: CHANGELOG.md, Abschnitt [3.1.0].</t>
        </is>
      </c>
    </row>
    <row r="11">
      <c r="A11" s="24" t="inlineStr">
        <is>
          <t>Release 3.1.1 (29.10.2026, Patch): REQ-44 (Verordnung (EU) 2024/1689 aus dem Amtsblatt als dritte Fassung) vorbereitet und offline geprüft; Einlesen per Docker ausstehend. Release Notes: CHANGELOG.md, Abschnitt [3.1.1].</t>
        </is>
      </c>
    </row>
    <row r="12">
      <c r="A12" s="24" t="inlineStr">
        <is>
          <t>Release 3.2.0 (29.10.2026, Minor): REQ-45 (Digital Omnibus on AI als vierte Fassung, Änderungsbefehle automatisch angewendet) vorbereitet und offline geprüft; Einlesen per Docker ausstehend. Release Notes: CHANGELOG.md, Abschnitt [3.2.0].</t>
        </is>
      </c>
    </row>
    <row r="13">
      <c r="A13" s="24" t="inlineStr">
        <is>
          <t>Release 3.2.1 (29.10.2026, Patch): REQ-46 (Leitlinien der Kommission zur Definition eines KI-Systems als erste Legal guideline) vorbereitet und offline geprüft; Einlesen per Docker ausstehend. Release Notes: CHANGELOG.md, Abschnitt [3.2.1].</t>
        </is>
      </c>
    </row>
    <row r="14">
      <c r="A14" s="24" t="inlineStr">
        <is>
          <t>Release 3.2.2 (29.10.2026, Patch): REQ-47 (Leitlinien der Kommission zu verbotenen KI-Praktiken als zweite Legal guideline) vorbereitet und offline geprüft; Einlesen per Docker ausstehend. Release Notes: CHANGELOG.md, Abschnitt [3.2.2].</t>
        </is>
      </c>
    </row>
    <row r="15">
      <c r="A15" s="24" t="inlineStr">
        <is>
          <t>Release 3.3.0 (29.10.2026, Minor): REQ-48 (neue Dokumentklasse „Guidance &amp; FAQ“, erstes Dokument AI Literacy Q&amp;A) vorbereitet und offline geprüft; Einlesen per Docker ausstehend. Release Notes: CHANGELOG.md, Abschnitt [3.3.0].</t>
        </is>
      </c>
    </row>
    <row r="16">
      <c r="A16" s="24" t="inlineStr">
        <is>
          <t>Release 3.3.1 (30.10.2026, Patch): REQ-49 (Lizenzstempel werden aus PDFs entfernt; Parser für Standards). Release Notes: CHANGELOG.md, Abschnitt [3.3.1].</t>
        </is>
      </c>
    </row>
    <row r="17">
      <c r="A17" s="24" t="inlineStr">
        <is>
          <t>Release 3.3.2 (30.10.2026, Patch): REQ-50 (NIST SP 800-18 Rev. 2 als zweiter Standard) vorbereitet und offline geprüft; Einlesen per Docker ausstehend. Release Notes: CHANGELOG.md, Abschnitt [3.3.2].</t>
        </is>
      </c>
    </row>
    <row r="18" s="11">
      <c r="A18" s="24" t="inlineStr">
        <is>
          <t>Release 3.4.0 (30.10.2026, Minor): REQ-51 (Weißbuch zur KI als White paper im Legal project) vorbereitet und offline geprüft; Einlesen per Docker ausstehend. Release Notes: CHANGELOG.md, Abschnitt [3.4.0].</t>
        </is>
      </c>
    </row>
    <row r="19" s="11">
      <c r="A19" s="24" t="inlineStr">
        <is>
          <t>Release 3.5.0 (30.10.2026, Minor): REQ-52 (nur „EU AI Act“ ohne Passwort sichtbar; übrige Datenbanken nach Passwort neben dem OpenRouter-Key).</t>
        </is>
      </c>
    </row>
    <row r="20" s="11">
      <c r="A20" s="24" t="inlineStr">
        <is>
          <t>Release 3.5.1 (30.10.2026, Patch): REQ-54 („+ Add new data“ aus der Datenbankleiste entfernt); REQ-53 (drei Paper für EU AI Act) zurückgezogen.</t>
        </is>
      </c>
    </row>
    <row r="21" s="11">
      <c r="A21" s="24" t="inlineStr">
        <is>
          <t>Release 3.6.0 (30.10.2026, Minor): REQ-55 (neue Datenbank „Wachter“ mit zwei Papern zu vertrauenswürdiger KI und AI Act).</t>
        </is>
      </c>
    </row>
    <row r="22" s="11">
      <c r="A22" s="24" t="inlineStr">
        <is>
          <t>Release 3.6.1 (30.10.2026, Patch): REQ-56 (Wachter wie EU AI Act ohne Passwort sichtbar).</t>
        </is>
      </c>
    </row>
    <row r="23" s="11">
      <c r="A23" s="24" t="inlineStr">
        <is>
          <t>Release 3.6.2 (31.10.2026, Patch): REQ-57 (Doku-Reiter ISO 42001/EUAIACT und Technical Documentation ohne Passwort ausgeblendet).</t>
        </is>
      </c>
    </row>
    <row r="24" s="11">
      <c r="A24" s="24" t="inlineStr">
        <is>
          <t>Release 3.6.3 (31.10.2026, Patch): REQ-58 (Release Notes ohne Passwort ausgeblendet).</t>
        </is>
      </c>
    </row>
    <row r="25" s="11">
      <c r="A25" s="24" t="inlineStr">
        <is>
          <t>Release 3.7.0 (31.10.2026, Minor): REQ-59 (Cluster zweier Datenbanken vergleichen, Graph Chat über Datenbanken), REQ-60 (Standard aus 3.3.1 vollständig entfernt), REQ-61 (Refactoring, Stufe 0).</t>
        </is>
      </c>
    </row>
    <row r="26" s="11">
      <c r="A26" s="24" t="inlineStr">
        <is>
          <t>Release 3.7.1 (31.10.2026, Patch): REQ-62 (drei Kästen in einer Zeile auf der B-Seite).</t>
        </is>
      </c>
    </row>
    <row r="27" s="11">
      <c r="A27" s="24" t="inlineStr">
        <is>
          <t>Release 3.7.2 (31.10.2026, Patch): REQ-63 (B-Seite in drei Spalten, Wissenskarte im eigenen Fenster).</t>
        </is>
      </c>
    </row>
    <row r="28" s="11">
      <c r="A28" s="24" t="inlineStr">
        <is>
          <t>Release 3.7.3 (31.10.2026, Patch): REQ-64 (größeres Eingabefeld), REQ-65 (Datenbankleiste über der Wissenskarte).</t>
        </is>
      </c>
    </row>
    <row r="29" s="11">
      <c r="A29" s="24" t="inlineStr">
        <is>
          <t>Release 3.9.0 (31.10.2026, Minor): REQ-67 (Fragen zu den Zusammenhängen auf der Wissenskarte, Brücken-Stellen).</t>
        </is>
      </c>
    </row>
    <row r="30">
      <c r="A30" s="24" t="inlineStr">
        <is>
          <t>Release 3.10.0 (31.10.2026, Minor): REQ-68 (Paper mit den Artikeln verknüpft, die sie diskutieren; Vorschlags-Nummern auf heutige Nummern abgebildet).</t>
        </is>
      </c>
    </row>
    <row r="31">
      <c r="A31" s="24" t="inlineStr">
        <is>
          <t>Release 3.11.0 (31.10.2026, Minor): REQ-69 (je Artikel die Paper, die ihn diskutieren, in der Nummerierung der Fassung).</t>
        </is>
      </c>
    </row>
    <row r="32">
      <c r="A32" s="24" t="inlineStr">
        <is>
          <t>Release 3.12.0 (31.10.2026, Minor): REQ-70 (Guided tour).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2026-10-17T16:43:09Z</dcterms:created>
  <dcterms:modified xmlns:dcterms="http://purl.org/dc/terms/" xmlns:xsi="http://www.w3.org/2001/XMLSchema-instance" xsi:type="dcterms:W3CDTF">2026-10-31T21:50:18Z</dcterms:modified>
  <cp:revision>0</cp:revision>
</cp:coreProperties>
</file>